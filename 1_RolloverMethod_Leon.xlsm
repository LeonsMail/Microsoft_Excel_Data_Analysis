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sigs" ContentType="application/vnd.openxmlformats-package.digital-signature-origin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xmlsignatures/sig1.xml" ContentType="application/vnd.openxmlformats-package.digital-signature-xmlsignatur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openxmlformats.org/package/2006/relationships/digital-signature/origin" Target="_xmlsignatures/origin.sigs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\my_doing\"/>
    </mc:Choice>
  </mc:AlternateContent>
  <xr:revisionPtr revIDLastSave="0" documentId="13_ncr:1_{051D3A8E-AC86-46B4-8C5F-0B512457FE0F}" xr6:coauthVersionLast="47" xr6:coauthVersionMax="47" xr10:uidLastSave="{00000000-0000-0000-0000-000000000000}"/>
  <bookViews>
    <workbookView xWindow="-120" yWindow="-120" windowWidth="38640" windowHeight="21120" activeTab="1" xr2:uid="{00000000-000D-0000-FFFF-FFFF00000000}"/>
  </bookViews>
  <sheets>
    <sheet name="Source Data" sheetId="1" r:id="rId1"/>
    <sheet name="Products Review Rating" sheetId="2" r:id="rId2"/>
  </sheets>
  <functionGroups builtInGroupCount="19"/>
  <definedNames>
    <definedName name="_xlnm._FilterDatabase" localSheetId="0" hidden="1">'Source Data'!$A$1:$A$156</definedName>
    <definedName name="_xlnm.Extract" localSheetId="0">'Products Review Rating'!$B$5</definedName>
    <definedName name="Product_Selection">'Products Review Rating'!#REF!</definedName>
    <definedName name="product_selesh">'Products Review Rating'!$B$21</definedName>
    <definedName name="sss">'Products Review Rating'!#REF!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1" i="2" l="1"/>
  <c r="I7" i="2"/>
  <c r="J7" i="2"/>
  <c r="K7" i="2"/>
  <c r="L7" i="2"/>
  <c r="M7" i="2"/>
  <c r="I8" i="2"/>
  <c r="J8" i="2"/>
  <c r="K8" i="2"/>
  <c r="L8" i="2"/>
  <c r="M8" i="2"/>
  <c r="I9" i="2"/>
  <c r="J9" i="2"/>
  <c r="K9" i="2"/>
  <c r="L9" i="2"/>
  <c r="M9" i="2"/>
  <c r="I10" i="2"/>
  <c r="J10" i="2"/>
  <c r="K10" i="2"/>
  <c r="L10" i="2"/>
  <c r="M10" i="2"/>
  <c r="I11" i="2"/>
  <c r="J11" i="2"/>
  <c r="K11" i="2"/>
  <c r="L11" i="2"/>
  <c r="M11" i="2"/>
  <c r="I12" i="2"/>
  <c r="J12" i="2"/>
  <c r="K12" i="2"/>
  <c r="L12" i="2"/>
  <c r="M12" i="2"/>
  <c r="I13" i="2"/>
  <c r="J13" i="2"/>
  <c r="K13" i="2"/>
  <c r="L13" i="2"/>
  <c r="M13" i="2"/>
  <c r="I14" i="2"/>
  <c r="J14" i="2"/>
  <c r="K14" i="2"/>
  <c r="L14" i="2"/>
  <c r="M14" i="2"/>
  <c r="I15" i="2"/>
  <c r="J15" i="2"/>
  <c r="K15" i="2"/>
  <c r="L15" i="2"/>
  <c r="M15" i="2"/>
  <c r="I16" i="2"/>
  <c r="J16" i="2"/>
  <c r="K16" i="2"/>
  <c r="L16" i="2"/>
  <c r="M16" i="2"/>
  <c r="I17" i="2"/>
  <c r="J17" i="2"/>
  <c r="K17" i="2"/>
  <c r="L17" i="2"/>
  <c r="M17" i="2"/>
  <c r="I18" i="2"/>
  <c r="J18" i="2"/>
  <c r="K18" i="2"/>
  <c r="L18" i="2"/>
  <c r="M18" i="2"/>
  <c r="I19" i="2"/>
  <c r="J19" i="2"/>
  <c r="K19" i="2"/>
  <c r="L19" i="2"/>
  <c r="M19" i="2"/>
  <c r="J6" i="2"/>
  <c r="K6" i="2"/>
  <c r="L6" i="2"/>
  <c r="M6" i="2"/>
  <c r="I6" i="2"/>
  <c r="P36" i="2" a="1"/>
  <c r="P37" i="2" a="1"/>
  <c r="P38" i="2" a="1"/>
  <c r="P27" i="2" a="1"/>
  <c r="P32" i="2" a="1"/>
  <c r="P25" i="2" a="1"/>
  <c r="P26" i="2" a="1"/>
  <c r="P28" i="2" a="1"/>
  <c r="P29" i="2" a="1"/>
  <c r="P30" i="2" a="1"/>
  <c r="P33" i="2" a="1"/>
  <c r="P35" i="2" a="1"/>
  <c r="P31" i="2" a="1"/>
  <c r="P34" i="2" a="1"/>
  <c r="J21" i="2" l="1" a="1"/>
  <c r="J21" i="2" s="1"/>
  <c r="P38" i="2"/>
  <c r="P35" i="2"/>
  <c r="P25" i="2"/>
  <c r="P37" i="2"/>
  <c r="P36" i="2"/>
  <c r="P34" i="2"/>
  <c r="P33" i="2"/>
  <c r="P32" i="2"/>
  <c r="P31" i="2"/>
  <c r="P30" i="2"/>
  <c r="P29" i="2"/>
  <c r="P28" i="2"/>
  <c r="P27" i="2"/>
  <c r="P26" i="2"/>
  <c r="N21" i="2" a="1"/>
  <c r="N21" i="2" s="1"/>
  <c r="I21" i="2" a="1"/>
  <c r="I21" i="2" s="1"/>
  <c r="K21" i="2" a="1"/>
  <c r="K21" i="2" s="1"/>
  <c r="M21" i="2" a="1"/>
  <c r="M21" i="2" s="1"/>
  <c r="L21" i="2" a="1"/>
  <c r="L21" i="2" s="1"/>
  <c r="N16" i="2"/>
  <c r="N12" i="2"/>
  <c r="N6" i="2"/>
  <c r="N10" i="2"/>
  <c r="N7" i="2"/>
  <c r="N13" i="2"/>
  <c r="N18" i="2"/>
  <c r="N19" i="2"/>
  <c r="N9" i="2"/>
  <c r="N15" i="2"/>
  <c r="N8" i="2"/>
  <c r="N11" i="2"/>
  <c r="N14" i="2"/>
  <c r="N17" i="2"/>
  <c r="C7" i="2" l="1"/>
  <c r="C8" i="2"/>
  <c r="C9" i="2"/>
  <c r="C10" i="2"/>
  <c r="C11" i="2"/>
  <c r="C12" i="2"/>
  <c r="C13" i="2"/>
  <c r="C14" i="2"/>
  <c r="C15" i="2"/>
  <c r="C16" i="2"/>
  <c r="C17" i="2"/>
  <c r="C18" i="2"/>
  <c r="C19" i="2"/>
  <c r="C6" i="2"/>
  <c r="D18" i="2" l="1"/>
  <c r="F18" i="2"/>
  <c r="H18" i="2"/>
  <c r="E18" i="2"/>
  <c r="G18" i="2"/>
  <c r="D16" i="2"/>
  <c r="E16" i="2"/>
  <c r="G16" i="2"/>
  <c r="H16" i="2"/>
  <c r="F16" i="2"/>
  <c r="D13" i="2"/>
  <c r="F13" i="2"/>
  <c r="G13" i="2"/>
  <c r="H13" i="2"/>
  <c r="E13" i="2"/>
  <c r="G12" i="2"/>
  <c r="H12" i="2"/>
  <c r="D12" i="2"/>
  <c r="E12" i="2"/>
  <c r="F12" i="2"/>
  <c r="D17" i="2"/>
  <c r="G17" i="2"/>
  <c r="E17" i="2"/>
  <c r="F17" i="2"/>
  <c r="H17" i="2"/>
  <c r="G11" i="2"/>
  <c r="E11" i="2"/>
  <c r="D11" i="2"/>
  <c r="F11" i="2"/>
  <c r="H11" i="2"/>
  <c r="E6" i="2"/>
  <c r="F6" i="2"/>
  <c r="G6" i="2"/>
  <c r="H6" i="2"/>
  <c r="D6" i="2"/>
  <c r="H15" i="2"/>
  <c r="E15" i="2"/>
  <c r="F15" i="2"/>
  <c r="G15" i="2"/>
  <c r="D15" i="2"/>
  <c r="E10" i="2"/>
  <c r="F10" i="2"/>
  <c r="G10" i="2"/>
  <c r="H10" i="2"/>
  <c r="D10" i="2"/>
  <c r="F9" i="2"/>
  <c r="G9" i="2"/>
  <c r="H9" i="2"/>
  <c r="E9" i="2"/>
  <c r="D9" i="2"/>
  <c r="H14" i="2"/>
  <c r="D14" i="2"/>
  <c r="E14" i="2"/>
  <c r="F14" i="2"/>
  <c r="G14" i="2"/>
  <c r="F8" i="2"/>
  <c r="H8" i="2"/>
  <c r="D8" i="2"/>
  <c r="E8" i="2"/>
  <c r="G8" i="2"/>
  <c r="D19" i="2"/>
  <c r="E19" i="2"/>
  <c r="F19" i="2"/>
  <c r="H19" i="2"/>
  <c r="G19" i="2"/>
  <c r="D7" i="2"/>
  <c r="E7" i="2"/>
  <c r="F7" i="2"/>
  <c r="G7" i="2"/>
  <c r="H7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<sst xmlns="http://schemas.openxmlformats.org/spreadsheetml/2006/main" count="336" uniqueCount="92">
  <si>
    <t>Product</t>
  </si>
  <si>
    <t>Customer</t>
  </si>
  <si>
    <t>Alice Mutton</t>
  </si>
  <si>
    <t>ANTON</t>
  </si>
  <si>
    <t>BERGS</t>
  </si>
  <si>
    <t>BOLID</t>
  </si>
  <si>
    <t>BOTTM</t>
  </si>
  <si>
    <t>ERNSH</t>
  </si>
  <si>
    <t>GODOS</t>
  </si>
  <si>
    <t>HUNGC</t>
  </si>
  <si>
    <t>PICCO</t>
  </si>
  <si>
    <t>RATTC</t>
  </si>
  <si>
    <t>REGGC</t>
  </si>
  <si>
    <t>SAVEA</t>
  </si>
  <si>
    <t>SEVES</t>
  </si>
  <si>
    <t>WHITC</t>
  </si>
  <si>
    <t>Aniseed Syrup</t>
  </si>
  <si>
    <t>ALFKI</t>
  </si>
  <si>
    <t>LINOD</t>
  </si>
  <si>
    <t>QUICK</t>
  </si>
  <si>
    <t>VAFFE</t>
  </si>
  <si>
    <t>Boston Crab Meat</t>
  </si>
  <si>
    <t>BONAP</t>
  </si>
  <si>
    <t>BSBEV</t>
  </si>
  <si>
    <t>FRANS</t>
  </si>
  <si>
    <t>HILAA</t>
  </si>
  <si>
    <t>LAZYK</t>
  </si>
  <si>
    <t>LEHMS</t>
  </si>
  <si>
    <t>MAGAA</t>
  </si>
  <si>
    <t>OTTIK</t>
  </si>
  <si>
    <t>PERIC</t>
  </si>
  <si>
    <t>QUEEN</t>
  </si>
  <si>
    <t>RANCH</t>
  </si>
  <si>
    <t>TRAIH</t>
  </si>
  <si>
    <t>Camembert Pierrot</t>
  </si>
  <si>
    <t>ANATR</t>
  </si>
  <si>
    <t>AROUT</t>
  </si>
  <si>
    <t>CHOPS</t>
  </si>
  <si>
    <t>FAMIA</t>
  </si>
  <si>
    <t>FRANK</t>
  </si>
  <si>
    <t>FURIB</t>
  </si>
  <si>
    <t>GOURL</t>
  </si>
  <si>
    <t>MEREP</t>
  </si>
  <si>
    <t>RICAR</t>
  </si>
  <si>
    <t>RICSU</t>
  </si>
  <si>
    <t>WARTH</t>
  </si>
  <si>
    <t>WOLZA</t>
  </si>
  <si>
    <t>Carnarvon Tigers</t>
  </si>
  <si>
    <t>BLONP</t>
  </si>
  <si>
    <t>FOLIG</t>
  </si>
  <si>
    <t>HANAR</t>
  </si>
  <si>
    <t>HUNGO</t>
  </si>
  <si>
    <t>LETSS</t>
  </si>
  <si>
    <t>SANTG</t>
  </si>
  <si>
    <t>SPLIR</t>
  </si>
  <si>
    <t>WELLI</t>
  </si>
  <si>
    <t>Chai</t>
  </si>
  <si>
    <t>DUMON</t>
  </si>
  <si>
    <t>LAMAI</t>
  </si>
  <si>
    <t>NORTS</t>
  </si>
  <si>
    <t>PRINI</t>
  </si>
  <si>
    <t>TORTU</t>
  </si>
  <si>
    <t>Chang</t>
  </si>
  <si>
    <t>CONSH</t>
  </si>
  <si>
    <t>FOLKO</t>
  </si>
  <si>
    <t>VICTE</t>
  </si>
  <si>
    <t>WANDK</t>
  </si>
  <si>
    <t>Chartreuse verte</t>
  </si>
  <si>
    <t>BLAUS</t>
  </si>
  <si>
    <t>QUEDE</t>
  </si>
  <si>
    <t>Chef Anton's Cajun Seasoning</t>
  </si>
  <si>
    <t>EASTC</t>
  </si>
  <si>
    <t>TRADH</t>
  </si>
  <si>
    <t>Chef Anton's Gumbo Mix</t>
  </si>
  <si>
    <t>THEBI</t>
  </si>
  <si>
    <t>Chocolade</t>
  </si>
  <si>
    <t>Côte de Blaye</t>
  </si>
  <si>
    <t>GREAL</t>
  </si>
  <si>
    <t>SIMOB</t>
  </si>
  <si>
    <t>Escargots de Bourgogne</t>
  </si>
  <si>
    <t>OLDWO</t>
  </si>
  <si>
    <t>Filo Mix</t>
  </si>
  <si>
    <t>LAUGB</t>
  </si>
  <si>
    <t>TOMSP</t>
  </si>
  <si>
    <t>VINET</t>
  </si>
  <si>
    <t>Rating</t>
  </si>
  <si>
    <t>Products Review Rating</t>
  </si>
  <si>
    <t>Star Rating</t>
  </si>
  <si>
    <t>Reviews</t>
  </si>
  <si>
    <t>Total</t>
  </si>
  <si>
    <t>◄</t>
  </si>
  <si>
    <t>RollOver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</si>
</sst>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0"/>
      <name val="Arial"/>
    </font>
    <font>
      <sz val="10"/>
      <color theme="1"/>
      <name val="Arial"/>
      <family val="2"/>
    </font>
    <font>
      <b/>
      <sz val="8"/>
      <color rgb="FFFF0000"/>
      <name val="Arial"/>
      <family val="2"/>
    </font>
    <font>
      <sz val="10"/>
      <name val="Wingdings 2"/>
      <family val="1"/>
      <charset val="2"/>
    </font>
    <font>
      <b/>
      <sz val="11"/>
      <color theme="0"/>
      <name val="Cambria"/>
      <family val="1"/>
    </font>
    <font>
      <sz val="10"/>
      <name val="Cambria"/>
      <family val="1"/>
    </font>
    <font>
      <b/>
      <sz val="8"/>
      <color rgb="FFFF0000"/>
      <name val="Cambria"/>
      <family val="1"/>
    </font>
    <font>
      <sz val="10"/>
      <color theme="1"/>
      <name val="Cambria"/>
      <family val="1"/>
    </font>
    <font>
      <b/>
      <sz val="10"/>
      <color theme="1"/>
      <name val="Cambria"/>
      <family val="1"/>
    </font>
    <font>
      <b/>
      <sz val="10"/>
      <color rgb="FFFF0000"/>
      <name val="Cambria"/>
      <family val="1"/>
    </font>
    <font>
      <b/>
      <sz val="10"/>
      <color theme="0"/>
      <name val="Cambria"/>
      <family val="1"/>
    </font>
    <font>
      <b/>
      <sz val="10"/>
      <name val="Cambria"/>
      <family val="1"/>
    </font>
    <font>
      <sz val="10"/>
      <color theme="0" tint="-0.14999847407452621"/>
      <name val="Cambria"/>
      <family val="1"/>
    </font>
    <font>
      <b/>
      <sz val="10"/>
      <color theme="0" tint="-0.14999847407452621"/>
      <name val="Cambria"/>
      <family val="1"/>
    </font>
    <font>
      <sz val="48"/>
      <name val="Arial"/>
      <family val="2"/>
    </font>
    <font>
      <sz val="48"/>
      <name val="Cambria"/>
      <family val="1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30">
    <border>
      <left/>
      <right/>
      <top/>
      <bottom/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 style="thin">
        <color indexed="55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3" fillId="0" borderId="0" xfId="0" applyFont="1"/>
    <xf numFmtId="0" fontId="1" fillId="0" borderId="1" xfId="0" applyFont="1" applyFill="1" applyBorder="1"/>
    <xf numFmtId="0" fontId="1" fillId="0" borderId="2" xfId="0" applyFont="1" applyFill="1" applyBorder="1"/>
    <xf numFmtId="0" fontId="1" fillId="0" borderId="1" xfId="0" applyNumberFormat="1" applyFont="1" applyFill="1" applyBorder="1"/>
    <xf numFmtId="0" fontId="2" fillId="0" borderId="0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>
      <alignment horizontal="center" vertical="center"/>
    </xf>
    <xf numFmtId="0" fontId="5" fillId="0" borderId="0" xfId="0" applyFont="1"/>
    <xf numFmtId="0" fontId="5" fillId="2" borderId="0" xfId="0" applyFont="1" applyFill="1"/>
    <xf numFmtId="0" fontId="5" fillId="2" borderId="0" xfId="0" applyNumberFormat="1" applyFont="1" applyFill="1" applyBorder="1"/>
    <xf numFmtId="0" fontId="6" fillId="2" borderId="0" xfId="0" applyNumberFormat="1" applyFont="1" applyFill="1" applyBorder="1" applyAlignment="1">
      <alignment horizontal="left" vertical="center" wrapText="1"/>
    </xf>
    <xf numFmtId="0" fontId="5" fillId="2" borderId="0" xfId="0" applyNumberFormat="1" applyFont="1" applyFill="1" applyBorder="1" applyAlignment="1"/>
    <xf numFmtId="0" fontId="5" fillId="2" borderId="0" xfId="0" applyFont="1" applyFill="1" applyBorder="1"/>
    <xf numFmtId="0" fontId="7" fillId="2" borderId="0" xfId="0" applyNumberFormat="1" applyFont="1" applyFill="1" applyBorder="1"/>
    <xf numFmtId="0" fontId="8" fillId="2" borderId="6" xfId="0" applyNumberFormat="1" applyFont="1" applyFill="1" applyBorder="1" applyAlignment="1">
      <alignment horizontal="center" vertical="center"/>
    </xf>
    <xf numFmtId="0" fontId="8" fillId="2" borderId="13" xfId="0" applyNumberFormat="1" applyFont="1" applyFill="1" applyBorder="1" applyAlignment="1">
      <alignment horizontal="center" vertical="center"/>
    </xf>
    <xf numFmtId="0" fontId="8" fillId="2" borderId="7" xfId="0" applyNumberFormat="1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left" vertical="center" wrapText="1"/>
    </xf>
    <xf numFmtId="0" fontId="6" fillId="2" borderId="7" xfId="0" applyFont="1" applyFill="1" applyBorder="1" applyAlignment="1">
      <alignment horizontal="center" vertical="center" wrapText="1"/>
    </xf>
    <xf numFmtId="0" fontId="9" fillId="2" borderId="24" xfId="0" applyNumberFormat="1" applyFont="1" applyFill="1" applyBorder="1" applyAlignment="1">
      <alignment horizontal="center" vertical="center"/>
    </xf>
    <xf numFmtId="0" fontId="7" fillId="2" borderId="8" xfId="0" applyFont="1" applyFill="1" applyBorder="1"/>
    <xf numFmtId="2" fontId="5" fillId="2" borderId="14" xfId="0" applyNumberFormat="1" applyFont="1" applyFill="1" applyBorder="1" applyAlignment="1">
      <alignment horizontal="right" vertical="center"/>
    </xf>
    <xf numFmtId="2" fontId="7" fillId="2" borderId="20" xfId="0" applyNumberFormat="1" applyFont="1" applyFill="1" applyBorder="1"/>
    <xf numFmtId="2" fontId="7" fillId="2" borderId="21" xfId="0" applyNumberFormat="1" applyFont="1" applyFill="1" applyBorder="1"/>
    <xf numFmtId="2" fontId="7" fillId="2" borderId="22" xfId="0" applyNumberFormat="1" applyFont="1" applyFill="1" applyBorder="1"/>
    <xf numFmtId="1" fontId="11" fillId="2" borderId="20" xfId="0" applyNumberFormat="1" applyFont="1" applyFill="1" applyBorder="1" applyAlignment="1">
      <alignment horizontal="center" vertical="center"/>
    </xf>
    <xf numFmtId="1" fontId="10" fillId="2" borderId="22" xfId="0" applyNumberFormat="1" applyFont="1" applyFill="1" applyBorder="1"/>
    <xf numFmtId="0" fontId="7" fillId="2" borderId="9" xfId="0" applyFont="1" applyFill="1" applyBorder="1"/>
    <xf numFmtId="2" fontId="5" fillId="2" borderId="15" xfId="0" applyNumberFormat="1" applyFont="1" applyFill="1" applyBorder="1" applyAlignment="1">
      <alignment horizontal="right" vertical="center"/>
    </xf>
    <xf numFmtId="2" fontId="7" fillId="2" borderId="9" xfId="0" applyNumberFormat="1" applyFont="1" applyFill="1" applyBorder="1"/>
    <xf numFmtId="2" fontId="7" fillId="2" borderId="4" xfId="0" applyNumberFormat="1" applyFont="1" applyFill="1" applyBorder="1"/>
    <xf numFmtId="2" fontId="7" fillId="2" borderId="10" xfId="0" applyNumberFormat="1" applyFont="1" applyFill="1" applyBorder="1"/>
    <xf numFmtId="0" fontId="7" fillId="2" borderId="11" xfId="0" applyFont="1" applyFill="1" applyBorder="1"/>
    <xf numFmtId="2" fontId="5" fillId="2" borderId="16" xfId="0" applyNumberFormat="1" applyFont="1" applyFill="1" applyBorder="1" applyAlignment="1">
      <alignment horizontal="right" vertical="center"/>
    </xf>
    <xf numFmtId="2" fontId="7" fillId="2" borderId="11" xfId="0" applyNumberFormat="1" applyFont="1" applyFill="1" applyBorder="1"/>
    <xf numFmtId="2" fontId="7" fillId="2" borderId="23" xfId="0" applyNumberFormat="1" applyFont="1" applyFill="1" applyBorder="1"/>
    <xf numFmtId="2" fontId="7" fillId="2" borderId="12" xfId="0" applyNumberFormat="1" applyFont="1" applyFill="1" applyBorder="1"/>
    <xf numFmtId="0" fontId="7" fillId="2" borderId="0" xfId="0" applyFont="1" applyFill="1" applyBorder="1"/>
    <xf numFmtId="2" fontId="5" fillId="2" borderId="0" xfId="0" applyNumberFormat="1" applyFont="1" applyFill="1" applyBorder="1" applyAlignment="1">
      <alignment horizontal="right" vertical="center"/>
    </xf>
    <xf numFmtId="2" fontId="7" fillId="2" borderId="0" xfId="0" applyNumberFormat="1" applyFont="1" applyFill="1" applyBorder="1"/>
    <xf numFmtId="1" fontId="11" fillId="2" borderId="0" xfId="0" applyNumberFormat="1" applyFont="1" applyFill="1" applyBorder="1" applyAlignment="1">
      <alignment horizontal="center" vertical="center"/>
    </xf>
    <xf numFmtId="1" fontId="10" fillId="2" borderId="0" xfId="0" applyNumberFormat="1" applyFont="1" applyFill="1" applyBorder="1"/>
    <xf numFmtId="0" fontId="11" fillId="2" borderId="25" xfId="0" applyNumberFormat="1" applyFont="1" applyFill="1" applyBorder="1"/>
    <xf numFmtId="0" fontId="11" fillId="2" borderId="6" xfId="0" applyNumberFormat="1" applyFont="1" applyFill="1" applyBorder="1"/>
    <xf numFmtId="0" fontId="13" fillId="2" borderId="5" xfId="0" applyNumberFormat="1" applyFont="1" applyFill="1" applyBorder="1" applyAlignment="1">
      <alignment wrapText="1"/>
    </xf>
    <xf numFmtId="0" fontId="13" fillId="2" borderId="0" xfId="0" applyNumberFormat="1" applyFont="1" applyFill="1" applyBorder="1" applyAlignment="1">
      <alignment wrapText="1"/>
    </xf>
    <xf numFmtId="0" fontId="5" fillId="2" borderId="0" xfId="0" applyNumberFormat="1" applyFont="1" applyFill="1" applyBorder="1" applyAlignment="1">
      <alignment wrapText="1"/>
    </xf>
    <xf numFmtId="0" fontId="5" fillId="2" borderId="0" xfId="0" applyFont="1" applyFill="1" applyBorder="1" applyAlignment="1">
      <alignment wrapText="1"/>
    </xf>
    <xf numFmtId="0" fontId="5" fillId="2" borderId="0" xfId="0" applyFont="1" applyFill="1" applyAlignment="1">
      <alignment wrapText="1"/>
    </xf>
    <xf numFmtId="1" fontId="11" fillId="2" borderId="25" xfId="0" applyNumberFormat="1" applyFont="1" applyFill="1" applyBorder="1" applyAlignment="1">
      <alignment horizontal="center" vertical="center"/>
    </xf>
    <xf numFmtId="1" fontId="10" fillId="2" borderId="26" xfId="0" applyNumberFormat="1" applyFont="1" applyFill="1" applyBorder="1"/>
    <xf numFmtId="0" fontId="5" fillId="0" borderId="0" xfId="0" applyFont="1" applyBorder="1"/>
    <xf numFmtId="0" fontId="14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6" fillId="2" borderId="17" xfId="0" applyFont="1" applyFill="1" applyBorder="1" applyAlignment="1">
      <alignment horizontal="center" vertical="center" wrapText="1"/>
    </xf>
    <xf numFmtId="0" fontId="6" fillId="2" borderId="18" xfId="0" applyFont="1" applyFill="1" applyBorder="1" applyAlignment="1">
      <alignment horizontal="center" vertical="center" wrapText="1"/>
    </xf>
    <xf numFmtId="0" fontId="6" fillId="2" borderId="19" xfId="0" applyFont="1" applyFill="1" applyBorder="1" applyAlignment="1">
      <alignment horizontal="center" vertical="center" wrapText="1"/>
    </xf>
    <xf numFmtId="0" fontId="12" fillId="2" borderId="0" xfId="0" applyFont="1" applyFill="1" applyAlignment="1">
      <alignment horizontal="center"/>
    </xf>
    <xf numFmtId="0" fontId="12" fillId="2" borderId="27" xfId="0" applyFont="1" applyFill="1" applyBorder="1" applyAlignment="1">
      <alignment horizontal="center"/>
    </xf>
  </cellXfs>
  <cellStyles count="1">
    <cellStyle name="Normal" xfId="0" builtinId="0"/>
  </cellStyles>
  <dxfs count="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/>
        <top style="thin">
          <color indexed="5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/>
        <top style="thin">
          <color indexed="5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indexed="55"/>
        </top>
        <bottom/>
        <vertical/>
        <horizontal/>
      </border>
    </dxf>
    <dxf>
      <border outline="0"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336699"/>
      <rgbColor rgb="00FFFF00"/>
      <rgbColor rgb="00FF00FF"/>
      <rgbColor rgb="0000FFFF"/>
      <rgbColor rgb="00800000"/>
      <rgbColor rgb="00008000"/>
      <rgbColor rgb="00015CA7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DEE6F2"/>
      <rgbColor rgb="0033CCCC"/>
      <rgbColor rgb="0099CC00"/>
      <rgbColor rgb="00FFCC00"/>
      <rgbColor rgb="00FF9900"/>
      <rgbColor rgb="00FF6600"/>
      <rgbColor rgb="00336699"/>
      <rgbColor rgb="00969696"/>
      <rgbColor rgb="00003366"/>
      <rgbColor rgb="00339966"/>
      <rgbColor rgb="00003300"/>
      <rgbColor rgb="00333300"/>
      <rgbColor rgb="00993300"/>
      <rgbColor rgb="00993366"/>
      <rgbColor rgb="002481BA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'Products Review Rating'!$N$21</c:f>
          <c:strCache>
            <c:ptCount val="1"/>
            <c:pt idx="0">
              <c:v>5 Total Reviews for Chocolade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'Products Review Rating'!$B$21</c:f>
              <c:strCache>
                <c:ptCount val="1"/>
                <c:pt idx="0">
                  <c:v>Chocolade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'Products Review Rating'!$I$21:$M$21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C3-458F-BCEE-E133CD6397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57586280"/>
        <c:axId val="957581360"/>
        <c:axId val="0"/>
      </c:bar3DChart>
      <c:catAx>
        <c:axId val="957586280"/>
        <c:scaling>
          <c:orientation val="minMax"/>
        </c:scaling>
        <c:delete val="0"/>
        <c:axPos val="l"/>
        <c:numFmt formatCode="General&quot; Star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581360"/>
        <c:crosses val="autoZero"/>
        <c:auto val="1"/>
        <c:lblAlgn val="ctr"/>
        <c:lblOffset val="100"/>
        <c:noMultiLvlLbl val="0"/>
      </c:catAx>
      <c:valAx>
        <c:axId val="957581360"/>
        <c:scaling>
          <c:orientation val="minMax"/>
          <c:max val="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586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372341</xdr:colOff>
      <xdr:row>21</xdr:row>
      <xdr:rowOff>77932</xdr:rowOff>
    </xdr:from>
    <xdr:to>
      <xdr:col>13</xdr:col>
      <xdr:colOff>363682</xdr:colOff>
      <xdr:row>38</xdr:row>
      <xdr:rowOff>24246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660B16DD-57AC-46EC-A32D-1E556FCF8C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8353EC9-A32D-4648-8EC9-FF8B6FF03BC2}" name="Table1" displayName="Table1" ref="A1:C156" totalsRowShown="0" tableBorderDxfId="3">
  <tableColumns count="3">
    <tableColumn id="1" xr3:uid="{4CD3EBEC-FBB2-4B68-948F-71EA6BC4BB31}" name="Product" dataDxfId="2"/>
    <tableColumn id="2" xr3:uid="{03774967-EF32-428B-8FCE-B287BD917508}" name="Customer" dataDxfId="1"/>
    <tableColumn id="3" xr3:uid="{29DC9E94-FE2A-4B52-ACC0-EA3C8CF1D8E3}" name="Rating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H156"/>
  <sheetViews>
    <sheetView showGridLines="0" zoomScale="110" zoomScaleNormal="110" workbookViewId="0">
      <selection activeCell="A2" sqref="A2:C156"/>
    </sheetView>
  </sheetViews>
  <sheetFormatPr defaultRowHeight="12.75" x14ac:dyDescent="0.2"/>
  <cols>
    <col min="1" max="1" width="30.85546875" bestFit="1" customWidth="1"/>
    <col min="2" max="2" width="11.140625" customWidth="1"/>
    <col min="3" max="3" width="10.140625" bestFit="1" customWidth="1"/>
    <col min="4" max="4" width="10" customWidth="1"/>
    <col min="5" max="5" width="10.140625" customWidth="1"/>
    <col min="6" max="7" width="8.28515625" customWidth="1"/>
    <col min="8" max="8" width="9.140625" customWidth="1"/>
    <col min="9" max="9" width="10" customWidth="1"/>
  </cols>
  <sheetData>
    <row r="1" spans="1:8" ht="18.75" customHeight="1" x14ac:dyDescent="0.2">
      <c r="A1" s="5" t="s">
        <v>0</v>
      </c>
      <c r="B1" s="6" t="s">
        <v>1</v>
      </c>
      <c r="C1" s="7" t="s">
        <v>85</v>
      </c>
      <c r="F1" s="1"/>
      <c r="G1" s="1"/>
      <c r="H1" s="1"/>
    </row>
    <row r="2" spans="1:8" x14ac:dyDescent="0.2">
      <c r="A2" s="3" t="s">
        <v>2</v>
      </c>
      <c r="B2" s="2" t="s">
        <v>3</v>
      </c>
      <c r="C2" s="4">
        <v>5</v>
      </c>
    </row>
    <row r="3" spans="1:8" x14ac:dyDescent="0.2">
      <c r="A3" s="3" t="s">
        <v>2</v>
      </c>
      <c r="B3" s="2" t="s">
        <v>4</v>
      </c>
      <c r="C3" s="4">
        <v>1</v>
      </c>
    </row>
    <row r="4" spans="1:8" x14ac:dyDescent="0.2">
      <c r="A4" s="3" t="s">
        <v>2</v>
      </c>
      <c r="B4" s="2" t="s">
        <v>5</v>
      </c>
      <c r="C4" s="4">
        <v>3</v>
      </c>
    </row>
    <row r="5" spans="1:8" x14ac:dyDescent="0.2">
      <c r="A5" s="3" t="s">
        <v>2</v>
      </c>
      <c r="B5" s="2" t="s">
        <v>6</v>
      </c>
      <c r="C5" s="4">
        <v>4</v>
      </c>
    </row>
    <row r="6" spans="1:8" x14ac:dyDescent="0.2">
      <c r="A6" s="3" t="s">
        <v>2</v>
      </c>
      <c r="B6" s="2" t="s">
        <v>7</v>
      </c>
      <c r="C6" s="4">
        <v>2</v>
      </c>
    </row>
    <row r="7" spans="1:8" x14ac:dyDescent="0.2">
      <c r="A7" s="3" t="s">
        <v>2</v>
      </c>
      <c r="B7" s="2" t="s">
        <v>8</v>
      </c>
      <c r="C7" s="4">
        <v>1</v>
      </c>
    </row>
    <row r="8" spans="1:8" x14ac:dyDescent="0.2">
      <c r="A8" s="3" t="s">
        <v>2</v>
      </c>
      <c r="B8" s="2" t="s">
        <v>9</v>
      </c>
      <c r="C8" s="4">
        <v>5</v>
      </c>
    </row>
    <row r="9" spans="1:8" x14ac:dyDescent="0.2">
      <c r="A9" s="3" t="s">
        <v>2</v>
      </c>
      <c r="B9" s="2" t="s">
        <v>10</v>
      </c>
      <c r="C9" s="4">
        <v>1</v>
      </c>
    </row>
    <row r="10" spans="1:8" x14ac:dyDescent="0.2">
      <c r="A10" s="3" t="s">
        <v>2</v>
      </c>
      <c r="B10" s="2" t="s">
        <v>11</v>
      </c>
      <c r="C10" s="4">
        <v>5</v>
      </c>
    </row>
    <row r="11" spans="1:8" x14ac:dyDescent="0.2">
      <c r="A11" s="3" t="s">
        <v>2</v>
      </c>
      <c r="B11" s="2" t="s">
        <v>12</v>
      </c>
      <c r="C11" s="4">
        <v>1</v>
      </c>
    </row>
    <row r="12" spans="1:8" x14ac:dyDescent="0.2">
      <c r="A12" s="3" t="s">
        <v>2</v>
      </c>
      <c r="B12" s="2" t="s">
        <v>13</v>
      </c>
      <c r="C12" s="4">
        <v>4</v>
      </c>
    </row>
    <row r="13" spans="1:8" x14ac:dyDescent="0.2">
      <c r="A13" s="3" t="s">
        <v>2</v>
      </c>
      <c r="B13" s="2" t="s">
        <v>14</v>
      </c>
      <c r="C13" s="4">
        <v>1</v>
      </c>
    </row>
    <row r="14" spans="1:8" x14ac:dyDescent="0.2">
      <c r="A14" s="3" t="s">
        <v>2</v>
      </c>
      <c r="B14" s="2" t="s">
        <v>15</v>
      </c>
      <c r="C14" s="4">
        <v>1</v>
      </c>
    </row>
    <row r="15" spans="1:8" x14ac:dyDescent="0.2">
      <c r="A15" s="3" t="s">
        <v>16</v>
      </c>
      <c r="B15" s="2" t="s">
        <v>17</v>
      </c>
      <c r="C15" s="4">
        <v>4</v>
      </c>
    </row>
    <row r="16" spans="1:8" x14ac:dyDescent="0.2">
      <c r="A16" s="3" t="s">
        <v>16</v>
      </c>
      <c r="B16" s="2" t="s">
        <v>6</v>
      </c>
      <c r="C16" s="4">
        <v>3</v>
      </c>
    </row>
    <row r="17" spans="1:3" x14ac:dyDescent="0.2">
      <c r="A17" s="3" t="s">
        <v>16</v>
      </c>
      <c r="B17" s="2" t="s">
        <v>7</v>
      </c>
      <c r="C17" s="4">
        <v>5</v>
      </c>
    </row>
    <row r="18" spans="1:3" x14ac:dyDescent="0.2">
      <c r="A18" s="3" t="s">
        <v>16</v>
      </c>
      <c r="B18" s="2" t="s">
        <v>18</v>
      </c>
      <c r="C18" s="4">
        <v>5</v>
      </c>
    </row>
    <row r="19" spans="1:3" x14ac:dyDescent="0.2">
      <c r="A19" s="3" t="s">
        <v>16</v>
      </c>
      <c r="B19" s="2" t="s">
        <v>19</v>
      </c>
      <c r="C19" s="4">
        <v>4</v>
      </c>
    </row>
    <row r="20" spans="1:3" x14ac:dyDescent="0.2">
      <c r="A20" s="3" t="s">
        <v>16</v>
      </c>
      <c r="B20" s="2" t="s">
        <v>20</v>
      </c>
      <c r="C20" s="4">
        <v>1</v>
      </c>
    </row>
    <row r="21" spans="1:3" x14ac:dyDescent="0.2">
      <c r="A21" s="3" t="s">
        <v>21</v>
      </c>
      <c r="B21" s="2" t="s">
        <v>3</v>
      </c>
      <c r="C21" s="4">
        <v>5</v>
      </c>
    </row>
    <row r="22" spans="1:3" x14ac:dyDescent="0.2">
      <c r="A22" s="3" t="s">
        <v>21</v>
      </c>
      <c r="B22" s="2" t="s">
        <v>4</v>
      </c>
      <c r="C22" s="4">
        <v>1</v>
      </c>
    </row>
    <row r="23" spans="1:3" x14ac:dyDescent="0.2">
      <c r="A23" s="3" t="s">
        <v>21</v>
      </c>
      <c r="B23" s="2" t="s">
        <v>22</v>
      </c>
      <c r="C23" s="4">
        <v>4</v>
      </c>
    </row>
    <row r="24" spans="1:3" x14ac:dyDescent="0.2">
      <c r="A24" s="3" t="s">
        <v>21</v>
      </c>
      <c r="B24" s="2" t="s">
        <v>6</v>
      </c>
      <c r="C24" s="4">
        <v>3</v>
      </c>
    </row>
    <row r="25" spans="1:3" x14ac:dyDescent="0.2">
      <c r="A25" s="3" t="s">
        <v>21</v>
      </c>
      <c r="B25" s="2" t="s">
        <v>23</v>
      </c>
      <c r="C25" s="4">
        <v>4</v>
      </c>
    </row>
    <row r="26" spans="1:3" x14ac:dyDescent="0.2">
      <c r="A26" s="3" t="s">
        <v>21</v>
      </c>
      <c r="B26" s="2" t="s">
        <v>24</v>
      </c>
      <c r="C26" s="4">
        <v>4</v>
      </c>
    </row>
    <row r="27" spans="1:3" x14ac:dyDescent="0.2">
      <c r="A27" s="3" t="s">
        <v>21</v>
      </c>
      <c r="B27" s="2" t="s">
        <v>25</v>
      </c>
      <c r="C27" s="4">
        <v>2</v>
      </c>
    </row>
    <row r="28" spans="1:3" x14ac:dyDescent="0.2">
      <c r="A28" s="3" t="s">
        <v>21</v>
      </c>
      <c r="B28" s="2" t="s">
        <v>26</v>
      </c>
      <c r="C28" s="4">
        <v>3</v>
      </c>
    </row>
    <row r="29" spans="1:3" x14ac:dyDescent="0.2">
      <c r="A29" s="3" t="s">
        <v>21</v>
      </c>
      <c r="B29" s="2" t="s">
        <v>27</v>
      </c>
      <c r="C29" s="4">
        <v>3</v>
      </c>
    </row>
    <row r="30" spans="1:3" x14ac:dyDescent="0.2">
      <c r="A30" s="3" t="s">
        <v>21</v>
      </c>
      <c r="B30" s="2" t="s">
        <v>28</v>
      </c>
      <c r="C30" s="4">
        <v>3</v>
      </c>
    </row>
    <row r="31" spans="1:3" x14ac:dyDescent="0.2">
      <c r="A31" s="3" t="s">
        <v>21</v>
      </c>
      <c r="B31" s="2" t="s">
        <v>29</v>
      </c>
      <c r="C31" s="4">
        <v>1</v>
      </c>
    </row>
    <row r="32" spans="1:3" x14ac:dyDescent="0.2">
      <c r="A32" s="3" t="s">
        <v>21</v>
      </c>
      <c r="B32" s="2" t="s">
        <v>30</v>
      </c>
      <c r="C32" s="4">
        <v>2</v>
      </c>
    </row>
    <row r="33" spans="1:3" x14ac:dyDescent="0.2">
      <c r="A33" s="3" t="s">
        <v>21</v>
      </c>
      <c r="B33" s="2" t="s">
        <v>31</v>
      </c>
      <c r="C33" s="4">
        <v>3</v>
      </c>
    </row>
    <row r="34" spans="1:3" x14ac:dyDescent="0.2">
      <c r="A34" s="3" t="s">
        <v>21</v>
      </c>
      <c r="B34" s="2" t="s">
        <v>19</v>
      </c>
      <c r="C34" s="4">
        <v>1</v>
      </c>
    </row>
    <row r="35" spans="1:3" x14ac:dyDescent="0.2">
      <c r="A35" s="3" t="s">
        <v>21</v>
      </c>
      <c r="B35" s="2" t="s">
        <v>32</v>
      </c>
      <c r="C35" s="4">
        <v>1</v>
      </c>
    </row>
    <row r="36" spans="1:3" x14ac:dyDescent="0.2">
      <c r="A36" s="3" t="s">
        <v>21</v>
      </c>
      <c r="B36" s="2" t="s">
        <v>13</v>
      </c>
      <c r="C36" s="4">
        <v>3</v>
      </c>
    </row>
    <row r="37" spans="1:3" x14ac:dyDescent="0.2">
      <c r="A37" s="3" t="s">
        <v>21</v>
      </c>
      <c r="B37" s="2" t="s">
        <v>33</v>
      </c>
      <c r="C37" s="4">
        <v>5</v>
      </c>
    </row>
    <row r="38" spans="1:3" x14ac:dyDescent="0.2">
      <c r="A38" s="3" t="s">
        <v>21</v>
      </c>
      <c r="B38" s="2" t="s">
        <v>20</v>
      </c>
      <c r="C38" s="4">
        <v>5</v>
      </c>
    </row>
    <row r="39" spans="1:3" x14ac:dyDescent="0.2">
      <c r="A39" s="3" t="s">
        <v>34</v>
      </c>
      <c r="B39" s="2" t="s">
        <v>35</v>
      </c>
      <c r="C39" s="4">
        <v>2</v>
      </c>
    </row>
    <row r="40" spans="1:3" x14ac:dyDescent="0.2">
      <c r="A40" s="3" t="s">
        <v>34</v>
      </c>
      <c r="B40" s="2" t="s">
        <v>36</v>
      </c>
      <c r="C40" s="4">
        <v>3</v>
      </c>
    </row>
    <row r="41" spans="1:3" x14ac:dyDescent="0.2">
      <c r="A41" s="3" t="s">
        <v>34</v>
      </c>
      <c r="B41" s="2" t="s">
        <v>4</v>
      </c>
      <c r="C41" s="4">
        <v>5</v>
      </c>
    </row>
    <row r="42" spans="1:3" x14ac:dyDescent="0.2">
      <c r="A42" s="3" t="s">
        <v>34</v>
      </c>
      <c r="B42" s="2" t="s">
        <v>6</v>
      </c>
      <c r="C42" s="4">
        <v>4</v>
      </c>
    </row>
    <row r="43" spans="1:3" x14ac:dyDescent="0.2">
      <c r="A43" s="3" t="s">
        <v>34</v>
      </c>
      <c r="B43" s="2" t="s">
        <v>37</v>
      </c>
      <c r="C43" s="4">
        <v>2</v>
      </c>
    </row>
    <row r="44" spans="1:3" x14ac:dyDescent="0.2">
      <c r="A44" s="3" t="s">
        <v>34</v>
      </c>
      <c r="B44" s="2" t="s">
        <v>38</v>
      </c>
      <c r="C44" s="4">
        <v>4</v>
      </c>
    </row>
    <row r="45" spans="1:3" x14ac:dyDescent="0.2">
      <c r="A45" s="3" t="s">
        <v>34</v>
      </c>
      <c r="B45" s="2" t="s">
        <v>39</v>
      </c>
      <c r="C45" s="4">
        <v>2</v>
      </c>
    </row>
    <row r="46" spans="1:3" x14ac:dyDescent="0.2">
      <c r="A46" s="3" t="s">
        <v>34</v>
      </c>
      <c r="B46" s="2" t="s">
        <v>40</v>
      </c>
      <c r="C46" s="4">
        <v>3</v>
      </c>
    </row>
    <row r="47" spans="1:3" x14ac:dyDescent="0.2">
      <c r="A47" s="3" t="s">
        <v>34</v>
      </c>
      <c r="B47" s="2" t="s">
        <v>41</v>
      </c>
      <c r="C47" s="4">
        <v>5</v>
      </c>
    </row>
    <row r="48" spans="1:3" x14ac:dyDescent="0.2">
      <c r="A48" s="3" t="s">
        <v>34</v>
      </c>
      <c r="B48" s="2" t="s">
        <v>27</v>
      </c>
      <c r="C48" s="4">
        <v>1</v>
      </c>
    </row>
    <row r="49" spans="1:3" x14ac:dyDescent="0.2">
      <c r="A49" s="3" t="s">
        <v>34</v>
      </c>
      <c r="B49" s="2" t="s">
        <v>42</v>
      </c>
      <c r="C49" s="4">
        <v>3</v>
      </c>
    </row>
    <row r="50" spans="1:3" x14ac:dyDescent="0.2">
      <c r="A50" s="3" t="s">
        <v>34</v>
      </c>
      <c r="B50" s="2" t="s">
        <v>29</v>
      </c>
      <c r="C50" s="4">
        <v>2</v>
      </c>
    </row>
    <row r="51" spans="1:3" x14ac:dyDescent="0.2">
      <c r="A51" s="3" t="s">
        <v>34</v>
      </c>
      <c r="B51" s="2" t="s">
        <v>31</v>
      </c>
      <c r="C51" s="4">
        <v>1</v>
      </c>
    </row>
    <row r="52" spans="1:3" x14ac:dyDescent="0.2">
      <c r="A52" s="3" t="s">
        <v>34</v>
      </c>
      <c r="B52" s="2" t="s">
        <v>19</v>
      </c>
      <c r="C52" s="4">
        <v>4</v>
      </c>
    </row>
    <row r="53" spans="1:3" x14ac:dyDescent="0.2">
      <c r="A53" s="3" t="s">
        <v>34</v>
      </c>
      <c r="B53" s="2" t="s">
        <v>43</v>
      </c>
      <c r="C53" s="4">
        <v>3</v>
      </c>
    </row>
    <row r="54" spans="1:3" x14ac:dyDescent="0.2">
      <c r="A54" s="3" t="s">
        <v>34</v>
      </c>
      <c r="B54" s="2" t="s">
        <v>44</v>
      </c>
      <c r="C54" s="4">
        <v>2</v>
      </c>
    </row>
    <row r="55" spans="1:3" x14ac:dyDescent="0.2">
      <c r="A55" s="3" t="s">
        <v>34</v>
      </c>
      <c r="B55" s="2" t="s">
        <v>13</v>
      </c>
      <c r="C55" s="4">
        <v>2</v>
      </c>
    </row>
    <row r="56" spans="1:3" x14ac:dyDescent="0.2">
      <c r="A56" s="3" t="s">
        <v>34</v>
      </c>
      <c r="B56" s="2" t="s">
        <v>45</v>
      </c>
      <c r="C56" s="4">
        <v>1</v>
      </c>
    </row>
    <row r="57" spans="1:3" x14ac:dyDescent="0.2">
      <c r="A57" s="3" t="s">
        <v>34</v>
      </c>
      <c r="B57" s="2" t="s">
        <v>46</v>
      </c>
      <c r="C57" s="4">
        <v>2</v>
      </c>
    </row>
    <row r="58" spans="1:3" x14ac:dyDescent="0.2">
      <c r="A58" s="3" t="s">
        <v>47</v>
      </c>
      <c r="B58" s="2" t="s">
        <v>48</v>
      </c>
      <c r="C58" s="4">
        <v>3</v>
      </c>
    </row>
    <row r="59" spans="1:3" x14ac:dyDescent="0.2">
      <c r="A59" s="3" t="s">
        <v>47</v>
      </c>
      <c r="B59" s="2" t="s">
        <v>22</v>
      </c>
      <c r="C59" s="4">
        <v>3</v>
      </c>
    </row>
    <row r="60" spans="1:3" x14ac:dyDescent="0.2">
      <c r="A60" s="3" t="s">
        <v>47</v>
      </c>
      <c r="B60" s="2" t="s">
        <v>49</v>
      </c>
      <c r="C60" s="4">
        <v>1</v>
      </c>
    </row>
    <row r="61" spans="1:3" x14ac:dyDescent="0.2">
      <c r="A61" s="3" t="s">
        <v>47</v>
      </c>
      <c r="B61" s="2" t="s">
        <v>50</v>
      </c>
      <c r="C61" s="4">
        <v>1</v>
      </c>
    </row>
    <row r="62" spans="1:3" x14ac:dyDescent="0.2">
      <c r="A62" s="3" t="s">
        <v>47</v>
      </c>
      <c r="B62" s="2" t="s">
        <v>51</v>
      </c>
      <c r="C62" s="4">
        <v>4</v>
      </c>
    </row>
    <row r="63" spans="1:3" x14ac:dyDescent="0.2">
      <c r="A63" s="3" t="s">
        <v>47</v>
      </c>
      <c r="B63" s="2" t="s">
        <v>52</v>
      </c>
      <c r="C63" s="4">
        <v>4</v>
      </c>
    </row>
    <row r="64" spans="1:3" x14ac:dyDescent="0.2">
      <c r="A64" s="3" t="s">
        <v>47</v>
      </c>
      <c r="B64" s="2" t="s">
        <v>19</v>
      </c>
      <c r="C64" s="4">
        <v>4</v>
      </c>
    </row>
    <row r="65" spans="1:3" x14ac:dyDescent="0.2">
      <c r="A65" s="3" t="s">
        <v>47</v>
      </c>
      <c r="B65" s="2" t="s">
        <v>53</v>
      </c>
      <c r="C65" s="4">
        <v>3</v>
      </c>
    </row>
    <row r="66" spans="1:3" x14ac:dyDescent="0.2">
      <c r="A66" s="3" t="s">
        <v>47</v>
      </c>
      <c r="B66" s="2" t="s">
        <v>54</v>
      </c>
      <c r="C66" s="4">
        <v>2</v>
      </c>
    </row>
    <row r="67" spans="1:3" x14ac:dyDescent="0.2">
      <c r="A67" s="3" t="s">
        <v>47</v>
      </c>
      <c r="B67" s="2" t="s">
        <v>55</v>
      </c>
      <c r="C67" s="4">
        <v>2</v>
      </c>
    </row>
    <row r="68" spans="1:3" x14ac:dyDescent="0.2">
      <c r="A68" s="3" t="s">
        <v>56</v>
      </c>
      <c r="B68" s="2" t="s">
        <v>4</v>
      </c>
      <c r="C68" s="4">
        <v>1</v>
      </c>
    </row>
    <row r="69" spans="1:3" x14ac:dyDescent="0.2">
      <c r="A69" s="3" t="s">
        <v>56</v>
      </c>
      <c r="B69" s="2" t="s">
        <v>48</v>
      </c>
      <c r="C69" s="4">
        <v>1</v>
      </c>
    </row>
    <row r="70" spans="1:3" x14ac:dyDescent="0.2">
      <c r="A70" s="3" t="s">
        <v>56</v>
      </c>
      <c r="B70" s="2" t="s">
        <v>57</v>
      </c>
      <c r="C70" s="4">
        <v>2</v>
      </c>
    </row>
    <row r="71" spans="1:3" x14ac:dyDescent="0.2">
      <c r="A71" s="3" t="s">
        <v>56</v>
      </c>
      <c r="B71" s="2" t="s">
        <v>51</v>
      </c>
      <c r="C71" s="4">
        <v>1</v>
      </c>
    </row>
    <row r="72" spans="1:3" x14ac:dyDescent="0.2">
      <c r="A72" s="3" t="s">
        <v>56</v>
      </c>
      <c r="B72" s="2" t="s">
        <v>58</v>
      </c>
      <c r="C72" s="4">
        <v>3</v>
      </c>
    </row>
    <row r="73" spans="1:3" x14ac:dyDescent="0.2">
      <c r="A73" s="3" t="s">
        <v>56</v>
      </c>
      <c r="B73" s="2" t="s">
        <v>27</v>
      </c>
      <c r="C73" s="4">
        <v>5</v>
      </c>
    </row>
    <row r="74" spans="1:3" x14ac:dyDescent="0.2">
      <c r="A74" s="3" t="s">
        <v>56</v>
      </c>
      <c r="B74" s="2" t="s">
        <v>18</v>
      </c>
      <c r="C74" s="4">
        <v>5</v>
      </c>
    </row>
    <row r="75" spans="1:3" x14ac:dyDescent="0.2">
      <c r="A75" s="3" t="s">
        <v>56</v>
      </c>
      <c r="B75" s="2" t="s">
        <v>42</v>
      </c>
      <c r="C75" s="4">
        <v>4</v>
      </c>
    </row>
    <row r="76" spans="1:3" x14ac:dyDescent="0.2">
      <c r="A76" s="3" t="s">
        <v>56</v>
      </c>
      <c r="B76" s="2" t="s">
        <v>59</v>
      </c>
      <c r="C76" s="4">
        <v>5</v>
      </c>
    </row>
    <row r="77" spans="1:3" x14ac:dyDescent="0.2">
      <c r="A77" s="3" t="s">
        <v>56</v>
      </c>
      <c r="B77" s="2" t="s">
        <v>60</v>
      </c>
      <c r="C77" s="4">
        <v>3</v>
      </c>
    </row>
    <row r="78" spans="1:3" x14ac:dyDescent="0.2">
      <c r="A78" s="3" t="s">
        <v>56</v>
      </c>
      <c r="B78" s="2" t="s">
        <v>31</v>
      </c>
      <c r="C78" s="4">
        <v>3</v>
      </c>
    </row>
    <row r="79" spans="1:3" x14ac:dyDescent="0.2">
      <c r="A79" s="3" t="s">
        <v>56</v>
      </c>
      <c r="B79" s="2" t="s">
        <v>19</v>
      </c>
      <c r="C79" s="4">
        <v>1</v>
      </c>
    </row>
    <row r="80" spans="1:3" x14ac:dyDescent="0.2">
      <c r="A80" s="3" t="s">
        <v>56</v>
      </c>
      <c r="B80" s="2" t="s">
        <v>13</v>
      </c>
      <c r="C80" s="4">
        <v>4</v>
      </c>
    </row>
    <row r="81" spans="1:3" x14ac:dyDescent="0.2">
      <c r="A81" s="3" t="s">
        <v>56</v>
      </c>
      <c r="B81" s="2" t="s">
        <v>61</v>
      </c>
      <c r="C81" s="4">
        <v>1</v>
      </c>
    </row>
    <row r="82" spans="1:3" x14ac:dyDescent="0.2">
      <c r="A82" s="3" t="s">
        <v>56</v>
      </c>
      <c r="B82" s="2" t="s">
        <v>45</v>
      </c>
      <c r="C82" s="4">
        <v>4</v>
      </c>
    </row>
    <row r="83" spans="1:3" x14ac:dyDescent="0.2">
      <c r="A83" s="3" t="s">
        <v>56</v>
      </c>
      <c r="B83" s="2" t="s">
        <v>46</v>
      </c>
      <c r="C83" s="4">
        <v>1</v>
      </c>
    </row>
    <row r="84" spans="1:3" x14ac:dyDescent="0.2">
      <c r="A84" s="3" t="s">
        <v>62</v>
      </c>
      <c r="B84" s="2" t="s">
        <v>36</v>
      </c>
      <c r="C84" s="4">
        <v>4</v>
      </c>
    </row>
    <row r="85" spans="1:3" x14ac:dyDescent="0.2">
      <c r="A85" s="3" t="s">
        <v>62</v>
      </c>
      <c r="B85" s="2" t="s">
        <v>63</v>
      </c>
      <c r="C85" s="4">
        <v>5</v>
      </c>
    </row>
    <row r="86" spans="1:3" x14ac:dyDescent="0.2">
      <c r="A86" s="3" t="s">
        <v>62</v>
      </c>
      <c r="B86" s="2" t="s">
        <v>64</v>
      </c>
      <c r="C86" s="4">
        <v>5</v>
      </c>
    </row>
    <row r="87" spans="1:3" x14ac:dyDescent="0.2">
      <c r="A87" s="3" t="s">
        <v>62</v>
      </c>
      <c r="B87" s="2" t="s">
        <v>25</v>
      </c>
      <c r="C87" s="4">
        <v>4</v>
      </c>
    </row>
    <row r="88" spans="1:3" x14ac:dyDescent="0.2">
      <c r="A88" s="3" t="s">
        <v>62</v>
      </c>
      <c r="B88" s="2" t="s">
        <v>58</v>
      </c>
      <c r="C88" s="4">
        <v>5</v>
      </c>
    </row>
    <row r="89" spans="1:3" x14ac:dyDescent="0.2">
      <c r="A89" s="3" t="s">
        <v>62</v>
      </c>
      <c r="B89" s="2" t="s">
        <v>18</v>
      </c>
      <c r="C89" s="4">
        <v>4</v>
      </c>
    </row>
    <row r="90" spans="1:3" x14ac:dyDescent="0.2">
      <c r="A90" s="3" t="s">
        <v>62</v>
      </c>
      <c r="B90" s="2" t="s">
        <v>29</v>
      </c>
      <c r="C90" s="4">
        <v>1</v>
      </c>
    </row>
    <row r="91" spans="1:3" x14ac:dyDescent="0.2">
      <c r="A91" s="3" t="s">
        <v>62</v>
      </c>
      <c r="B91" s="2" t="s">
        <v>19</v>
      </c>
      <c r="C91" s="4">
        <v>5</v>
      </c>
    </row>
    <row r="92" spans="1:3" x14ac:dyDescent="0.2">
      <c r="A92" s="3" t="s">
        <v>62</v>
      </c>
      <c r="B92" s="2" t="s">
        <v>43</v>
      </c>
      <c r="C92" s="4">
        <v>5</v>
      </c>
    </row>
    <row r="93" spans="1:3" x14ac:dyDescent="0.2">
      <c r="A93" s="3" t="s">
        <v>62</v>
      </c>
      <c r="B93" s="2" t="s">
        <v>13</v>
      </c>
      <c r="C93" s="4">
        <v>5</v>
      </c>
    </row>
    <row r="94" spans="1:3" x14ac:dyDescent="0.2">
      <c r="A94" s="3" t="s">
        <v>62</v>
      </c>
      <c r="B94" s="2" t="s">
        <v>65</v>
      </c>
      <c r="C94" s="4">
        <v>2</v>
      </c>
    </row>
    <row r="95" spans="1:3" x14ac:dyDescent="0.2">
      <c r="A95" s="3" t="s">
        <v>62</v>
      </c>
      <c r="B95" s="2" t="s">
        <v>66</v>
      </c>
      <c r="C95" s="4">
        <v>3</v>
      </c>
    </row>
    <row r="96" spans="1:3" x14ac:dyDescent="0.2">
      <c r="A96" s="3" t="s">
        <v>62</v>
      </c>
      <c r="B96" s="2" t="s">
        <v>15</v>
      </c>
      <c r="C96" s="4">
        <v>1</v>
      </c>
    </row>
    <row r="97" spans="1:3" x14ac:dyDescent="0.2">
      <c r="A97" s="3" t="s">
        <v>62</v>
      </c>
      <c r="B97" s="2" t="s">
        <v>46</v>
      </c>
      <c r="C97" s="4">
        <v>5</v>
      </c>
    </row>
    <row r="98" spans="1:3" x14ac:dyDescent="0.2">
      <c r="A98" s="3" t="s">
        <v>67</v>
      </c>
      <c r="B98" s="2" t="s">
        <v>17</v>
      </c>
      <c r="C98" s="4">
        <v>4</v>
      </c>
    </row>
    <row r="99" spans="1:3" x14ac:dyDescent="0.2">
      <c r="A99" s="3" t="s">
        <v>67</v>
      </c>
      <c r="B99" s="2" t="s">
        <v>4</v>
      </c>
      <c r="C99" s="4">
        <v>3</v>
      </c>
    </row>
    <row r="100" spans="1:3" x14ac:dyDescent="0.2">
      <c r="A100" s="3" t="s">
        <v>67</v>
      </c>
      <c r="B100" s="2" t="s">
        <v>68</v>
      </c>
      <c r="C100" s="4">
        <v>4</v>
      </c>
    </row>
    <row r="101" spans="1:3" x14ac:dyDescent="0.2">
      <c r="A101" s="3" t="s">
        <v>67</v>
      </c>
      <c r="B101" s="2" t="s">
        <v>7</v>
      </c>
      <c r="C101" s="4">
        <v>3</v>
      </c>
    </row>
    <row r="102" spans="1:3" x14ac:dyDescent="0.2">
      <c r="A102" s="3" t="s">
        <v>67</v>
      </c>
      <c r="B102" s="2" t="s">
        <v>64</v>
      </c>
      <c r="C102" s="4">
        <v>2</v>
      </c>
    </row>
    <row r="103" spans="1:3" x14ac:dyDescent="0.2">
      <c r="A103" s="3" t="s">
        <v>67</v>
      </c>
      <c r="B103" s="2" t="s">
        <v>51</v>
      </c>
      <c r="C103" s="4">
        <v>5</v>
      </c>
    </row>
    <row r="104" spans="1:3" x14ac:dyDescent="0.2">
      <c r="A104" s="3" t="s">
        <v>67</v>
      </c>
      <c r="B104" s="2" t="s">
        <v>28</v>
      </c>
      <c r="C104" s="4">
        <v>4</v>
      </c>
    </row>
    <row r="105" spans="1:3" x14ac:dyDescent="0.2">
      <c r="A105" s="3" t="s">
        <v>67</v>
      </c>
      <c r="B105" s="2" t="s">
        <v>29</v>
      </c>
      <c r="C105" s="4">
        <v>3</v>
      </c>
    </row>
    <row r="106" spans="1:3" x14ac:dyDescent="0.2">
      <c r="A106" s="3" t="s">
        <v>67</v>
      </c>
      <c r="B106" s="2" t="s">
        <v>60</v>
      </c>
      <c r="C106" s="4">
        <v>1</v>
      </c>
    </row>
    <row r="107" spans="1:3" x14ac:dyDescent="0.2">
      <c r="A107" s="3" t="s">
        <v>67</v>
      </c>
      <c r="B107" s="2" t="s">
        <v>69</v>
      </c>
      <c r="C107" s="4">
        <v>4</v>
      </c>
    </row>
    <row r="108" spans="1:3" x14ac:dyDescent="0.2">
      <c r="A108" s="3" t="s">
        <v>67</v>
      </c>
      <c r="B108" s="2" t="s">
        <v>33</v>
      </c>
      <c r="C108" s="4">
        <v>2</v>
      </c>
    </row>
    <row r="109" spans="1:3" x14ac:dyDescent="0.2">
      <c r="A109" s="3" t="s">
        <v>67</v>
      </c>
      <c r="B109" s="2" t="s">
        <v>45</v>
      </c>
      <c r="C109" s="4">
        <v>1</v>
      </c>
    </row>
    <row r="110" spans="1:3" x14ac:dyDescent="0.2">
      <c r="A110" s="3" t="s">
        <v>70</v>
      </c>
      <c r="B110" s="2" t="s">
        <v>4</v>
      </c>
      <c r="C110" s="4">
        <v>4</v>
      </c>
    </row>
    <row r="111" spans="1:3" x14ac:dyDescent="0.2">
      <c r="A111" s="3" t="s">
        <v>70</v>
      </c>
      <c r="B111" s="2" t="s">
        <v>22</v>
      </c>
      <c r="C111" s="4">
        <v>2</v>
      </c>
    </row>
    <row r="112" spans="1:3" x14ac:dyDescent="0.2">
      <c r="A112" s="3" t="s">
        <v>70</v>
      </c>
      <c r="B112" s="2" t="s">
        <v>71</v>
      </c>
      <c r="C112" s="4">
        <v>3</v>
      </c>
    </row>
    <row r="113" spans="1:3" x14ac:dyDescent="0.2">
      <c r="A113" s="3" t="s">
        <v>70</v>
      </c>
      <c r="B113" s="2" t="s">
        <v>64</v>
      </c>
      <c r="C113" s="4">
        <v>5</v>
      </c>
    </row>
    <row r="114" spans="1:3" x14ac:dyDescent="0.2">
      <c r="A114" s="3" t="s">
        <v>70</v>
      </c>
      <c r="B114" s="2" t="s">
        <v>40</v>
      </c>
      <c r="C114" s="4">
        <v>4</v>
      </c>
    </row>
    <row r="115" spans="1:3" x14ac:dyDescent="0.2">
      <c r="A115" s="3" t="s">
        <v>70</v>
      </c>
      <c r="B115" s="2" t="s">
        <v>28</v>
      </c>
      <c r="C115" s="4">
        <v>5</v>
      </c>
    </row>
    <row r="116" spans="1:3" x14ac:dyDescent="0.2">
      <c r="A116" s="3" t="s">
        <v>70</v>
      </c>
      <c r="B116" s="2" t="s">
        <v>31</v>
      </c>
      <c r="C116" s="4">
        <v>3</v>
      </c>
    </row>
    <row r="117" spans="1:3" x14ac:dyDescent="0.2">
      <c r="A117" s="3" t="s">
        <v>70</v>
      </c>
      <c r="B117" s="2" t="s">
        <v>19</v>
      </c>
      <c r="C117" s="4">
        <v>2</v>
      </c>
    </row>
    <row r="118" spans="1:3" x14ac:dyDescent="0.2">
      <c r="A118" s="3" t="s">
        <v>70</v>
      </c>
      <c r="B118" s="2" t="s">
        <v>72</v>
      </c>
      <c r="C118" s="4">
        <v>4</v>
      </c>
    </row>
    <row r="119" spans="1:3" x14ac:dyDescent="0.2">
      <c r="A119" s="3" t="s">
        <v>70</v>
      </c>
      <c r="B119" s="2" t="s">
        <v>45</v>
      </c>
      <c r="C119" s="4">
        <v>3</v>
      </c>
    </row>
    <row r="120" spans="1:3" x14ac:dyDescent="0.2">
      <c r="A120" s="3" t="s">
        <v>73</v>
      </c>
      <c r="B120" s="2" t="s">
        <v>28</v>
      </c>
      <c r="C120" s="4">
        <v>3</v>
      </c>
    </row>
    <row r="121" spans="1:3" x14ac:dyDescent="0.2">
      <c r="A121" s="3" t="s">
        <v>73</v>
      </c>
      <c r="B121" s="2" t="s">
        <v>74</v>
      </c>
      <c r="C121" s="4">
        <v>4</v>
      </c>
    </row>
    <row r="122" spans="1:3" x14ac:dyDescent="0.2">
      <c r="A122" s="3" t="s">
        <v>75</v>
      </c>
      <c r="B122" s="2" t="s">
        <v>3</v>
      </c>
      <c r="C122" s="4">
        <v>3</v>
      </c>
    </row>
    <row r="123" spans="1:3" x14ac:dyDescent="0.2">
      <c r="A123" s="3" t="s">
        <v>75</v>
      </c>
      <c r="B123" s="2" t="s">
        <v>36</v>
      </c>
      <c r="C123" s="4">
        <v>4</v>
      </c>
    </row>
    <row r="124" spans="1:3" x14ac:dyDescent="0.2">
      <c r="A124" s="3" t="s">
        <v>75</v>
      </c>
      <c r="B124" s="2" t="s">
        <v>7</v>
      </c>
      <c r="C124" s="4">
        <v>5</v>
      </c>
    </row>
    <row r="125" spans="1:3" x14ac:dyDescent="0.2">
      <c r="A125" s="3" t="s">
        <v>75</v>
      </c>
      <c r="B125" s="2" t="s">
        <v>40</v>
      </c>
      <c r="C125" s="4">
        <v>1</v>
      </c>
    </row>
    <row r="126" spans="1:3" x14ac:dyDescent="0.2">
      <c r="A126" s="3" t="s">
        <v>75</v>
      </c>
      <c r="B126" s="2" t="s">
        <v>31</v>
      </c>
      <c r="C126" s="4">
        <v>2</v>
      </c>
    </row>
    <row r="127" spans="1:3" x14ac:dyDescent="0.2">
      <c r="A127" s="3" t="s">
        <v>76</v>
      </c>
      <c r="B127" s="2" t="s">
        <v>4</v>
      </c>
      <c r="C127" s="4">
        <v>3</v>
      </c>
    </row>
    <row r="128" spans="1:3" x14ac:dyDescent="0.2">
      <c r="A128" s="3" t="s">
        <v>76</v>
      </c>
      <c r="B128" s="2" t="s">
        <v>77</v>
      </c>
      <c r="C128" s="4">
        <v>2</v>
      </c>
    </row>
    <row r="129" spans="1:3" x14ac:dyDescent="0.2">
      <c r="A129" s="3" t="s">
        <v>76</v>
      </c>
      <c r="B129" s="2" t="s">
        <v>50</v>
      </c>
      <c r="C129" s="4">
        <v>1</v>
      </c>
    </row>
    <row r="130" spans="1:3" x14ac:dyDescent="0.2">
      <c r="A130" s="3" t="s">
        <v>76</v>
      </c>
      <c r="B130" s="2" t="s">
        <v>42</v>
      </c>
      <c r="C130" s="4">
        <v>4</v>
      </c>
    </row>
    <row r="131" spans="1:3" x14ac:dyDescent="0.2">
      <c r="A131" s="3" t="s">
        <v>76</v>
      </c>
      <c r="B131" s="2" t="s">
        <v>19</v>
      </c>
      <c r="C131" s="4">
        <v>3</v>
      </c>
    </row>
    <row r="132" spans="1:3" x14ac:dyDescent="0.2">
      <c r="A132" s="3" t="s">
        <v>76</v>
      </c>
      <c r="B132" s="2" t="s">
        <v>11</v>
      </c>
      <c r="C132" s="4">
        <v>1</v>
      </c>
    </row>
    <row r="133" spans="1:3" x14ac:dyDescent="0.2">
      <c r="A133" s="3" t="s">
        <v>76</v>
      </c>
      <c r="B133" s="2" t="s">
        <v>78</v>
      </c>
      <c r="C133" s="4">
        <v>3</v>
      </c>
    </row>
    <row r="134" spans="1:3" x14ac:dyDescent="0.2">
      <c r="A134" s="3" t="s">
        <v>76</v>
      </c>
      <c r="B134" s="2" t="s">
        <v>74</v>
      </c>
      <c r="C134" s="4">
        <v>5</v>
      </c>
    </row>
    <row r="135" spans="1:3" x14ac:dyDescent="0.2">
      <c r="A135" s="3" t="s">
        <v>76</v>
      </c>
      <c r="B135" s="2" t="s">
        <v>61</v>
      </c>
      <c r="C135" s="4">
        <v>4</v>
      </c>
    </row>
    <row r="136" spans="1:3" x14ac:dyDescent="0.2">
      <c r="A136" s="3" t="s">
        <v>79</v>
      </c>
      <c r="B136" s="2" t="s">
        <v>39</v>
      </c>
      <c r="C136" s="4">
        <v>3</v>
      </c>
    </row>
    <row r="137" spans="1:3" x14ac:dyDescent="0.2">
      <c r="A137" s="3" t="s">
        <v>79</v>
      </c>
      <c r="B137" s="2" t="s">
        <v>51</v>
      </c>
      <c r="C137" s="4">
        <v>5</v>
      </c>
    </row>
    <row r="138" spans="1:3" x14ac:dyDescent="0.2">
      <c r="A138" s="3" t="s">
        <v>79</v>
      </c>
      <c r="B138" s="2" t="s">
        <v>18</v>
      </c>
      <c r="C138" s="4">
        <v>4</v>
      </c>
    </row>
    <row r="139" spans="1:3" x14ac:dyDescent="0.2">
      <c r="A139" s="3" t="s">
        <v>79</v>
      </c>
      <c r="B139" s="2" t="s">
        <v>80</v>
      </c>
      <c r="C139" s="4">
        <v>3</v>
      </c>
    </row>
    <row r="140" spans="1:3" x14ac:dyDescent="0.2">
      <c r="A140" s="3" t="s">
        <v>79</v>
      </c>
      <c r="B140" s="2" t="s">
        <v>44</v>
      </c>
      <c r="C140" s="4">
        <v>1</v>
      </c>
    </row>
    <row r="141" spans="1:3" x14ac:dyDescent="0.2">
      <c r="A141" s="3" t="s">
        <v>79</v>
      </c>
      <c r="B141" s="2" t="s">
        <v>13</v>
      </c>
      <c r="C141" s="4">
        <v>1</v>
      </c>
    </row>
    <row r="142" spans="1:3" x14ac:dyDescent="0.2">
      <c r="A142" s="3" t="s">
        <v>79</v>
      </c>
      <c r="B142" s="2" t="s">
        <v>45</v>
      </c>
      <c r="C142" s="4">
        <v>1</v>
      </c>
    </row>
    <row r="143" spans="1:3" x14ac:dyDescent="0.2">
      <c r="A143" s="3" t="s">
        <v>81</v>
      </c>
      <c r="B143" s="2" t="s">
        <v>36</v>
      </c>
      <c r="C143" s="4">
        <v>3</v>
      </c>
    </row>
    <row r="144" spans="1:3" x14ac:dyDescent="0.2">
      <c r="A144" s="3" t="s">
        <v>81</v>
      </c>
      <c r="B144" s="2" t="s">
        <v>4</v>
      </c>
      <c r="C144" s="4">
        <v>2</v>
      </c>
    </row>
    <row r="145" spans="1:3" x14ac:dyDescent="0.2">
      <c r="A145" s="3" t="s">
        <v>81</v>
      </c>
      <c r="B145" s="2" t="s">
        <v>48</v>
      </c>
      <c r="C145" s="4">
        <v>5</v>
      </c>
    </row>
    <row r="146" spans="1:3" x14ac:dyDescent="0.2">
      <c r="A146" s="3" t="s">
        <v>81</v>
      </c>
      <c r="B146" s="2" t="s">
        <v>57</v>
      </c>
      <c r="C146" s="4">
        <v>5</v>
      </c>
    </row>
    <row r="147" spans="1:3" x14ac:dyDescent="0.2">
      <c r="A147" s="3" t="s">
        <v>81</v>
      </c>
      <c r="B147" s="2" t="s">
        <v>38</v>
      </c>
      <c r="C147" s="4">
        <v>3</v>
      </c>
    </row>
    <row r="148" spans="1:3" x14ac:dyDescent="0.2">
      <c r="A148" s="3" t="s">
        <v>81</v>
      </c>
      <c r="B148" s="2" t="s">
        <v>82</v>
      </c>
      <c r="C148" s="4">
        <v>5</v>
      </c>
    </row>
    <row r="149" spans="1:3" x14ac:dyDescent="0.2">
      <c r="A149" s="3" t="s">
        <v>81</v>
      </c>
      <c r="B149" s="2" t="s">
        <v>59</v>
      </c>
      <c r="C149" s="4">
        <v>3</v>
      </c>
    </row>
    <row r="150" spans="1:3" x14ac:dyDescent="0.2">
      <c r="A150" s="3" t="s">
        <v>81</v>
      </c>
      <c r="B150" s="2" t="s">
        <v>80</v>
      </c>
      <c r="C150" s="4">
        <v>3</v>
      </c>
    </row>
    <row r="151" spans="1:3" x14ac:dyDescent="0.2">
      <c r="A151" s="3" t="s">
        <v>81</v>
      </c>
      <c r="B151" s="2" t="s">
        <v>12</v>
      </c>
      <c r="C151" s="4">
        <v>1</v>
      </c>
    </row>
    <row r="152" spans="1:3" x14ac:dyDescent="0.2">
      <c r="A152" s="3" t="s">
        <v>81</v>
      </c>
      <c r="B152" s="2" t="s">
        <v>43</v>
      </c>
      <c r="C152" s="4">
        <v>5</v>
      </c>
    </row>
    <row r="153" spans="1:3" x14ac:dyDescent="0.2">
      <c r="A153" s="3" t="s">
        <v>81</v>
      </c>
      <c r="B153" s="2" t="s">
        <v>44</v>
      </c>
      <c r="C153" s="4">
        <v>2</v>
      </c>
    </row>
    <row r="154" spans="1:3" x14ac:dyDescent="0.2">
      <c r="A154" s="3" t="s">
        <v>81</v>
      </c>
      <c r="B154" s="2" t="s">
        <v>83</v>
      </c>
      <c r="C154" s="4">
        <v>4</v>
      </c>
    </row>
    <row r="155" spans="1:3" x14ac:dyDescent="0.2">
      <c r="A155" s="3" t="s">
        <v>81</v>
      </c>
      <c r="B155" s="2" t="s">
        <v>20</v>
      </c>
      <c r="C155" s="4">
        <v>3</v>
      </c>
    </row>
    <row r="156" spans="1:3" x14ac:dyDescent="0.2">
      <c r="A156" s="3" t="s">
        <v>81</v>
      </c>
      <c r="B156" s="2" t="s">
        <v>84</v>
      </c>
      <c r="C156" s="4">
        <v>5</v>
      </c>
    </row>
  </sheetData>
  <phoneticPr fontId="0" type="noConversion"/>
  <printOptions gridLines="1"/>
  <pageMargins left="0.75" right="0.75" top="1" bottom="1" header="0.5" footer="0.5"/>
  <pageSetup orientation="landscape" horizontalDpi="1200" verticalDpi="1200" r:id="rId1"/>
  <headerFooter alignWithMargins="0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50"/>
  </sheetPr>
  <dimension ref="A1:S41"/>
  <sheetViews>
    <sheetView showGridLines="0" tabSelected="1" zoomScale="110" zoomScaleNormal="110" workbookViewId="0">
      <selection activeCell="S12" sqref="S12"/>
    </sheetView>
  </sheetViews>
  <sheetFormatPr defaultRowHeight="12.75" x14ac:dyDescent="0.2"/>
  <cols>
    <col min="1" max="1" width="9.140625" style="8" customWidth="1"/>
    <col min="2" max="2" width="27.140625" style="8" bestFit="1" customWidth="1"/>
    <col min="3" max="3" width="9.140625" style="8" customWidth="1"/>
    <col min="4" max="13" width="2.28515625" style="8" bestFit="1" customWidth="1"/>
    <col min="14" max="14" width="6" style="8" bestFit="1" customWidth="1"/>
    <col min="15" max="15" width="6" style="8" customWidth="1"/>
    <col min="16" max="16" width="25" style="8" bestFit="1" customWidth="1"/>
    <col min="17" max="16384" width="9.140625" style="8"/>
  </cols>
  <sheetData>
    <row r="1" spans="1:15" ht="22.5" customHeight="1" x14ac:dyDescent="0.2">
      <c r="A1" s="58" t="s">
        <v>86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</row>
    <row r="2" spans="1:15" x14ac:dyDescent="0.2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</row>
    <row r="3" spans="1:15" ht="13.5" thickBot="1" x14ac:dyDescent="0.25">
      <c r="A3" s="10"/>
      <c r="B3" s="11"/>
      <c r="C3" s="10"/>
      <c r="D3" s="12"/>
      <c r="E3" s="12"/>
      <c r="F3" s="12"/>
      <c r="G3" s="12"/>
      <c r="H3" s="12"/>
      <c r="I3" s="10"/>
      <c r="J3" s="10"/>
      <c r="K3" s="10"/>
      <c r="L3" s="10"/>
      <c r="M3" s="10"/>
      <c r="N3" s="10"/>
      <c r="O3" s="13"/>
    </row>
    <row r="4" spans="1:15" ht="13.5" thickBot="1" x14ac:dyDescent="0.25">
      <c r="A4" s="10"/>
      <c r="B4" s="14"/>
      <c r="C4" s="10"/>
      <c r="D4" s="15">
        <v>1</v>
      </c>
      <c r="E4" s="16">
        <v>2</v>
      </c>
      <c r="F4" s="16">
        <v>3</v>
      </c>
      <c r="G4" s="16">
        <v>4</v>
      </c>
      <c r="H4" s="17">
        <v>5</v>
      </c>
      <c r="I4" s="15">
        <v>1</v>
      </c>
      <c r="J4" s="16">
        <v>2</v>
      </c>
      <c r="K4" s="16">
        <v>3</v>
      </c>
      <c r="L4" s="16">
        <v>4</v>
      </c>
      <c r="M4" s="17">
        <v>5</v>
      </c>
      <c r="N4" s="10"/>
      <c r="O4" s="13"/>
    </row>
    <row r="5" spans="1:15" ht="23.25" customHeight="1" thickBot="1" x14ac:dyDescent="0.25">
      <c r="A5" s="10"/>
      <c r="B5" s="18" t="s">
        <v>0</v>
      </c>
      <c r="C5" s="19" t="s">
        <v>85</v>
      </c>
      <c r="D5" s="59" t="s">
        <v>87</v>
      </c>
      <c r="E5" s="60"/>
      <c r="F5" s="60"/>
      <c r="G5" s="60"/>
      <c r="H5" s="61"/>
      <c r="I5" s="59" t="s">
        <v>88</v>
      </c>
      <c r="J5" s="60"/>
      <c r="K5" s="60"/>
      <c r="L5" s="60"/>
      <c r="M5" s="61"/>
      <c r="N5" s="20" t="s">
        <v>89</v>
      </c>
      <c r="O5" s="13"/>
    </row>
    <row r="6" spans="1:15" ht="13.5" thickBot="1" x14ac:dyDescent="0.25">
      <c r="A6" s="10">
        <v>1</v>
      </c>
      <c r="B6" s="21" t="s">
        <v>2</v>
      </c>
      <c r="C6" s="22">
        <f>AVERAGEIF(Table1[Product],'Products Review Rating'!B6,Table1[Rating])</f>
        <v>2.6153846153846154</v>
      </c>
      <c r="D6" s="23">
        <f>IF($C6&gt;=D$4,1,IF($C6&gt;=D$4-1,MOD($C6,1),0))</f>
        <v>1</v>
      </c>
      <c r="E6" s="24">
        <f t="shared" ref="E6:H19" si="0">IF($C6&gt;=E$4,1,IF($C6&gt;=E$4-1,MOD($C6,1),0))</f>
        <v>1</v>
      </c>
      <c r="F6" s="24">
        <f t="shared" si="0"/>
        <v>0.61538461538461542</v>
      </c>
      <c r="G6" s="24">
        <f t="shared" si="0"/>
        <v>0</v>
      </c>
      <c r="H6" s="25">
        <f t="shared" si="0"/>
        <v>0</v>
      </c>
      <c r="I6" s="26">
        <f>COUNTIFS(Table1[[Product]:[Product]],$B6,Table1[[Rating]:[Rating]],I$4)</f>
        <v>6</v>
      </c>
      <c r="J6" s="26">
        <f>COUNTIFS(Table1[[Product]:[Product]],$B6,Table1[[Rating]:[Rating]],J$4)</f>
        <v>1</v>
      </c>
      <c r="K6" s="26">
        <f>COUNTIFS(Table1[[Product]:[Product]],$B6,Table1[[Rating]:[Rating]],K$4)</f>
        <v>1</v>
      </c>
      <c r="L6" s="26">
        <f>COUNTIFS(Table1[[Product]:[Product]],$B6,Table1[[Rating]:[Rating]],L$4)</f>
        <v>2</v>
      </c>
      <c r="M6" s="26">
        <f>COUNTIFS(Table1[[Product]:[Product]],$B6,Table1[[Rating]:[Rating]],M$4)</f>
        <v>3</v>
      </c>
      <c r="N6" s="27">
        <f>SUM(I6:M6)</f>
        <v>13</v>
      </c>
      <c r="O6" s="13"/>
    </row>
    <row r="7" spans="1:15" ht="13.5" thickBot="1" x14ac:dyDescent="0.25">
      <c r="A7" s="10">
        <v>2</v>
      </c>
      <c r="B7" s="28" t="s">
        <v>16</v>
      </c>
      <c r="C7" s="29">
        <f>AVERAGEIF(Table1[Product],'Products Review Rating'!B7,Table1[Rating])</f>
        <v>3.6666666666666665</v>
      </c>
      <c r="D7" s="30">
        <f t="shared" ref="D7:D19" si="1">IF($C7&gt;=D$4,1,IF($C7&gt;=D$4-1,MOD($C7,1),0))</f>
        <v>1</v>
      </c>
      <c r="E7" s="31">
        <f t="shared" si="0"/>
        <v>1</v>
      </c>
      <c r="F7" s="31">
        <f t="shared" si="0"/>
        <v>1</v>
      </c>
      <c r="G7" s="31">
        <f t="shared" si="0"/>
        <v>0.66666666666666652</v>
      </c>
      <c r="H7" s="32">
        <f t="shared" si="0"/>
        <v>0</v>
      </c>
      <c r="I7" s="26">
        <f>COUNTIFS(Table1[[Product]:[Product]],$B7,Table1[[Rating]:[Rating]],I$4)</f>
        <v>1</v>
      </c>
      <c r="J7" s="26">
        <f>COUNTIFS(Table1[[Product]:[Product]],$B7,Table1[[Rating]:[Rating]],J$4)</f>
        <v>0</v>
      </c>
      <c r="K7" s="26">
        <f>COUNTIFS(Table1[[Product]:[Product]],$B7,Table1[[Rating]:[Rating]],K$4)</f>
        <v>1</v>
      </c>
      <c r="L7" s="26">
        <f>COUNTIFS(Table1[[Product]:[Product]],$B7,Table1[[Rating]:[Rating]],L$4)</f>
        <v>2</v>
      </c>
      <c r="M7" s="26">
        <f>COUNTIFS(Table1[[Product]:[Product]],$B7,Table1[[Rating]:[Rating]],M$4)</f>
        <v>2</v>
      </c>
      <c r="N7" s="27">
        <f t="shared" ref="N7:N19" si="2">SUM(I7:M7)</f>
        <v>6</v>
      </c>
      <c r="O7" s="13"/>
    </row>
    <row r="8" spans="1:15" ht="13.5" thickBot="1" x14ac:dyDescent="0.25">
      <c r="A8" s="10">
        <v>3</v>
      </c>
      <c r="B8" s="28" t="s">
        <v>21</v>
      </c>
      <c r="C8" s="29">
        <f>AVERAGEIF(Table1[Product],'Products Review Rating'!B8,Table1[Rating])</f>
        <v>2.9444444444444446</v>
      </c>
      <c r="D8" s="30">
        <f t="shared" si="1"/>
        <v>1</v>
      </c>
      <c r="E8" s="31">
        <f t="shared" si="0"/>
        <v>1</v>
      </c>
      <c r="F8" s="31">
        <f t="shared" si="0"/>
        <v>0.94444444444444464</v>
      </c>
      <c r="G8" s="31">
        <f t="shared" si="0"/>
        <v>0</v>
      </c>
      <c r="H8" s="32">
        <f t="shared" si="0"/>
        <v>0</v>
      </c>
      <c r="I8" s="26">
        <f>COUNTIFS(Table1[[Product]:[Product]],$B8,Table1[[Rating]:[Rating]],I$4)</f>
        <v>4</v>
      </c>
      <c r="J8" s="26">
        <f>COUNTIFS(Table1[[Product]:[Product]],$B8,Table1[[Rating]:[Rating]],J$4)</f>
        <v>2</v>
      </c>
      <c r="K8" s="26">
        <f>COUNTIFS(Table1[[Product]:[Product]],$B8,Table1[[Rating]:[Rating]],K$4)</f>
        <v>6</v>
      </c>
      <c r="L8" s="26">
        <f>COUNTIFS(Table1[[Product]:[Product]],$B8,Table1[[Rating]:[Rating]],L$4)</f>
        <v>3</v>
      </c>
      <c r="M8" s="26">
        <f>COUNTIFS(Table1[[Product]:[Product]],$B8,Table1[[Rating]:[Rating]],M$4)</f>
        <v>3</v>
      </c>
      <c r="N8" s="27">
        <f t="shared" si="2"/>
        <v>18</v>
      </c>
      <c r="O8" s="13"/>
    </row>
    <row r="9" spans="1:15" ht="13.5" thickBot="1" x14ac:dyDescent="0.25">
      <c r="A9" s="10">
        <v>4</v>
      </c>
      <c r="B9" s="28" t="s">
        <v>34</v>
      </c>
      <c r="C9" s="29">
        <f>AVERAGEIF(Table1[Product],'Products Review Rating'!B9,Table1[Rating])</f>
        <v>2.6842105263157894</v>
      </c>
      <c r="D9" s="30">
        <f t="shared" si="1"/>
        <v>1</v>
      </c>
      <c r="E9" s="31">
        <f t="shared" si="0"/>
        <v>1</v>
      </c>
      <c r="F9" s="31">
        <f t="shared" si="0"/>
        <v>0.68421052631578938</v>
      </c>
      <c r="G9" s="31">
        <f t="shared" si="0"/>
        <v>0</v>
      </c>
      <c r="H9" s="32">
        <f t="shared" si="0"/>
        <v>0</v>
      </c>
      <c r="I9" s="26">
        <f>COUNTIFS(Table1[[Product]:[Product]],$B9,Table1[[Rating]:[Rating]],I$4)</f>
        <v>3</v>
      </c>
      <c r="J9" s="26">
        <f>COUNTIFS(Table1[[Product]:[Product]],$B9,Table1[[Rating]:[Rating]],J$4)</f>
        <v>7</v>
      </c>
      <c r="K9" s="26">
        <f>COUNTIFS(Table1[[Product]:[Product]],$B9,Table1[[Rating]:[Rating]],K$4)</f>
        <v>4</v>
      </c>
      <c r="L9" s="26">
        <f>COUNTIFS(Table1[[Product]:[Product]],$B9,Table1[[Rating]:[Rating]],L$4)</f>
        <v>3</v>
      </c>
      <c r="M9" s="26">
        <f>COUNTIFS(Table1[[Product]:[Product]],$B9,Table1[[Rating]:[Rating]],M$4)</f>
        <v>2</v>
      </c>
      <c r="N9" s="27">
        <f t="shared" si="2"/>
        <v>19</v>
      </c>
      <c r="O9" s="13"/>
    </row>
    <row r="10" spans="1:15" ht="13.5" thickBot="1" x14ac:dyDescent="0.25">
      <c r="A10" s="10">
        <v>5</v>
      </c>
      <c r="B10" s="28" t="s">
        <v>47</v>
      </c>
      <c r="C10" s="29">
        <f>AVERAGEIF(Table1[Product],'Products Review Rating'!B10,Table1[Rating])</f>
        <v>2.7</v>
      </c>
      <c r="D10" s="30">
        <f t="shared" si="1"/>
        <v>1</v>
      </c>
      <c r="E10" s="31">
        <f t="shared" si="0"/>
        <v>1</v>
      </c>
      <c r="F10" s="31">
        <f t="shared" si="0"/>
        <v>0.70000000000000018</v>
      </c>
      <c r="G10" s="31">
        <f t="shared" si="0"/>
        <v>0</v>
      </c>
      <c r="H10" s="32">
        <f t="shared" si="0"/>
        <v>0</v>
      </c>
      <c r="I10" s="26">
        <f>COUNTIFS(Table1[[Product]:[Product]],$B10,Table1[[Rating]:[Rating]],I$4)</f>
        <v>2</v>
      </c>
      <c r="J10" s="26">
        <f>COUNTIFS(Table1[[Product]:[Product]],$B10,Table1[[Rating]:[Rating]],J$4)</f>
        <v>2</v>
      </c>
      <c r="K10" s="26">
        <f>COUNTIFS(Table1[[Product]:[Product]],$B10,Table1[[Rating]:[Rating]],K$4)</f>
        <v>3</v>
      </c>
      <c r="L10" s="26">
        <f>COUNTIFS(Table1[[Product]:[Product]],$B10,Table1[[Rating]:[Rating]],L$4)</f>
        <v>3</v>
      </c>
      <c r="M10" s="26">
        <f>COUNTIFS(Table1[[Product]:[Product]],$B10,Table1[[Rating]:[Rating]],M$4)</f>
        <v>0</v>
      </c>
      <c r="N10" s="27">
        <f t="shared" si="2"/>
        <v>10</v>
      </c>
      <c r="O10" s="13"/>
    </row>
    <row r="11" spans="1:15" ht="13.5" thickBot="1" x14ac:dyDescent="0.25">
      <c r="A11" s="10">
        <v>6</v>
      </c>
      <c r="B11" s="28" t="s">
        <v>56</v>
      </c>
      <c r="C11" s="29">
        <f>AVERAGEIF(Table1[Product],'Products Review Rating'!B11,Table1[Rating])</f>
        <v>2.75</v>
      </c>
      <c r="D11" s="30">
        <f t="shared" si="1"/>
        <v>1</v>
      </c>
      <c r="E11" s="31">
        <f t="shared" si="0"/>
        <v>1</v>
      </c>
      <c r="F11" s="31">
        <f t="shared" si="0"/>
        <v>0.75</v>
      </c>
      <c r="G11" s="31">
        <f t="shared" si="0"/>
        <v>0</v>
      </c>
      <c r="H11" s="32">
        <f t="shared" si="0"/>
        <v>0</v>
      </c>
      <c r="I11" s="26">
        <f>COUNTIFS(Table1[[Product]:[Product]],$B11,Table1[[Rating]:[Rating]],I$4)</f>
        <v>6</v>
      </c>
      <c r="J11" s="26">
        <f>COUNTIFS(Table1[[Product]:[Product]],$B11,Table1[[Rating]:[Rating]],J$4)</f>
        <v>1</v>
      </c>
      <c r="K11" s="26">
        <f>COUNTIFS(Table1[[Product]:[Product]],$B11,Table1[[Rating]:[Rating]],K$4)</f>
        <v>3</v>
      </c>
      <c r="L11" s="26">
        <f>COUNTIFS(Table1[[Product]:[Product]],$B11,Table1[[Rating]:[Rating]],L$4)</f>
        <v>3</v>
      </c>
      <c r="M11" s="26">
        <f>COUNTIFS(Table1[[Product]:[Product]],$B11,Table1[[Rating]:[Rating]],M$4)</f>
        <v>3</v>
      </c>
      <c r="N11" s="27">
        <f t="shared" si="2"/>
        <v>16</v>
      </c>
      <c r="O11" s="13"/>
    </row>
    <row r="12" spans="1:15" ht="13.5" thickBot="1" x14ac:dyDescent="0.25">
      <c r="A12" s="10">
        <v>7</v>
      </c>
      <c r="B12" s="28" t="s">
        <v>62</v>
      </c>
      <c r="C12" s="29">
        <f>AVERAGEIF(Table1[Product],'Products Review Rating'!B12,Table1[Rating])</f>
        <v>3.8571428571428572</v>
      </c>
      <c r="D12" s="30">
        <f t="shared" si="1"/>
        <v>1</v>
      </c>
      <c r="E12" s="31">
        <f t="shared" si="0"/>
        <v>1</v>
      </c>
      <c r="F12" s="31">
        <f t="shared" si="0"/>
        <v>1</v>
      </c>
      <c r="G12" s="31">
        <f t="shared" si="0"/>
        <v>0.85714285714285721</v>
      </c>
      <c r="H12" s="32">
        <f t="shared" si="0"/>
        <v>0</v>
      </c>
      <c r="I12" s="26">
        <f>COUNTIFS(Table1[[Product]:[Product]],$B12,Table1[[Rating]:[Rating]],I$4)</f>
        <v>2</v>
      </c>
      <c r="J12" s="26">
        <f>COUNTIFS(Table1[[Product]:[Product]],$B12,Table1[[Rating]:[Rating]],J$4)</f>
        <v>1</v>
      </c>
      <c r="K12" s="26">
        <f>COUNTIFS(Table1[[Product]:[Product]],$B12,Table1[[Rating]:[Rating]],K$4)</f>
        <v>1</v>
      </c>
      <c r="L12" s="26">
        <f>COUNTIFS(Table1[[Product]:[Product]],$B12,Table1[[Rating]:[Rating]],L$4)</f>
        <v>3</v>
      </c>
      <c r="M12" s="26">
        <f>COUNTIFS(Table1[[Product]:[Product]],$B12,Table1[[Rating]:[Rating]],M$4)</f>
        <v>7</v>
      </c>
      <c r="N12" s="27">
        <f t="shared" si="2"/>
        <v>14</v>
      </c>
      <c r="O12" s="13"/>
    </row>
    <row r="13" spans="1:15" ht="13.5" thickBot="1" x14ac:dyDescent="0.25">
      <c r="A13" s="10">
        <v>8</v>
      </c>
      <c r="B13" s="28" t="s">
        <v>67</v>
      </c>
      <c r="C13" s="29">
        <f>AVERAGEIF(Table1[Product],'Products Review Rating'!B13,Table1[Rating])</f>
        <v>3</v>
      </c>
      <c r="D13" s="30">
        <f t="shared" si="1"/>
        <v>1</v>
      </c>
      <c r="E13" s="31">
        <f t="shared" si="0"/>
        <v>1</v>
      </c>
      <c r="F13" s="31">
        <f t="shared" si="0"/>
        <v>1</v>
      </c>
      <c r="G13" s="31">
        <f t="shared" si="0"/>
        <v>0</v>
      </c>
      <c r="H13" s="32">
        <f t="shared" si="0"/>
        <v>0</v>
      </c>
      <c r="I13" s="26">
        <f>COUNTIFS(Table1[[Product]:[Product]],$B13,Table1[[Rating]:[Rating]],I$4)</f>
        <v>2</v>
      </c>
      <c r="J13" s="26">
        <f>COUNTIFS(Table1[[Product]:[Product]],$B13,Table1[[Rating]:[Rating]],J$4)</f>
        <v>2</v>
      </c>
      <c r="K13" s="26">
        <f>COUNTIFS(Table1[[Product]:[Product]],$B13,Table1[[Rating]:[Rating]],K$4)</f>
        <v>3</v>
      </c>
      <c r="L13" s="26">
        <f>COUNTIFS(Table1[[Product]:[Product]],$B13,Table1[[Rating]:[Rating]],L$4)</f>
        <v>4</v>
      </c>
      <c r="M13" s="26">
        <f>COUNTIFS(Table1[[Product]:[Product]],$B13,Table1[[Rating]:[Rating]],M$4)</f>
        <v>1</v>
      </c>
      <c r="N13" s="27">
        <f t="shared" si="2"/>
        <v>12</v>
      </c>
      <c r="O13" s="13"/>
    </row>
    <row r="14" spans="1:15" ht="13.5" thickBot="1" x14ac:dyDescent="0.25">
      <c r="A14" s="10">
        <v>9</v>
      </c>
      <c r="B14" s="28" t="s">
        <v>70</v>
      </c>
      <c r="C14" s="29">
        <f>AVERAGEIF(Table1[Product],'Products Review Rating'!B14,Table1[Rating])</f>
        <v>3.5</v>
      </c>
      <c r="D14" s="30">
        <f t="shared" si="1"/>
        <v>1</v>
      </c>
      <c r="E14" s="31">
        <f t="shared" si="0"/>
        <v>1</v>
      </c>
      <c r="F14" s="31">
        <f t="shared" si="0"/>
        <v>1</v>
      </c>
      <c r="G14" s="31">
        <f t="shared" si="0"/>
        <v>0.5</v>
      </c>
      <c r="H14" s="32">
        <f t="shared" si="0"/>
        <v>0</v>
      </c>
      <c r="I14" s="26">
        <f>COUNTIFS(Table1[[Product]:[Product]],$B14,Table1[[Rating]:[Rating]],I$4)</f>
        <v>0</v>
      </c>
      <c r="J14" s="26">
        <f>COUNTIFS(Table1[[Product]:[Product]],$B14,Table1[[Rating]:[Rating]],J$4)</f>
        <v>2</v>
      </c>
      <c r="K14" s="26">
        <f>COUNTIFS(Table1[[Product]:[Product]],$B14,Table1[[Rating]:[Rating]],K$4)</f>
        <v>3</v>
      </c>
      <c r="L14" s="26">
        <f>COUNTIFS(Table1[[Product]:[Product]],$B14,Table1[[Rating]:[Rating]],L$4)</f>
        <v>3</v>
      </c>
      <c r="M14" s="26">
        <f>COUNTIFS(Table1[[Product]:[Product]],$B14,Table1[[Rating]:[Rating]],M$4)</f>
        <v>2</v>
      </c>
      <c r="N14" s="27">
        <f t="shared" si="2"/>
        <v>10</v>
      </c>
      <c r="O14" s="13"/>
    </row>
    <row r="15" spans="1:15" ht="13.5" thickBot="1" x14ac:dyDescent="0.25">
      <c r="A15" s="10">
        <v>10</v>
      </c>
      <c r="B15" s="28" t="s">
        <v>73</v>
      </c>
      <c r="C15" s="29">
        <f>AVERAGEIF(Table1[Product],'Products Review Rating'!B15,Table1[Rating])</f>
        <v>3.5</v>
      </c>
      <c r="D15" s="30">
        <f t="shared" si="1"/>
        <v>1</v>
      </c>
      <c r="E15" s="31">
        <f t="shared" si="0"/>
        <v>1</v>
      </c>
      <c r="F15" s="31">
        <f t="shared" si="0"/>
        <v>1</v>
      </c>
      <c r="G15" s="31">
        <f t="shared" si="0"/>
        <v>0.5</v>
      </c>
      <c r="H15" s="32">
        <f t="shared" si="0"/>
        <v>0</v>
      </c>
      <c r="I15" s="26">
        <f>COUNTIFS(Table1[[Product]:[Product]],$B15,Table1[[Rating]:[Rating]],I$4)</f>
        <v>0</v>
      </c>
      <c r="J15" s="26">
        <f>COUNTIFS(Table1[[Product]:[Product]],$B15,Table1[[Rating]:[Rating]],J$4)</f>
        <v>0</v>
      </c>
      <c r="K15" s="26">
        <f>COUNTIFS(Table1[[Product]:[Product]],$B15,Table1[[Rating]:[Rating]],K$4)</f>
        <v>1</v>
      </c>
      <c r="L15" s="26">
        <f>COUNTIFS(Table1[[Product]:[Product]],$B15,Table1[[Rating]:[Rating]],L$4)</f>
        <v>1</v>
      </c>
      <c r="M15" s="26">
        <f>COUNTIFS(Table1[[Product]:[Product]],$B15,Table1[[Rating]:[Rating]],M$4)</f>
        <v>0</v>
      </c>
      <c r="N15" s="27">
        <f t="shared" si="2"/>
        <v>2</v>
      </c>
      <c r="O15" s="13"/>
    </row>
    <row r="16" spans="1:15" ht="13.5" thickBot="1" x14ac:dyDescent="0.25">
      <c r="A16" s="10">
        <v>11</v>
      </c>
      <c r="B16" s="28" t="s">
        <v>75</v>
      </c>
      <c r="C16" s="29">
        <f>AVERAGEIF(Table1[Product],'Products Review Rating'!B16,Table1[Rating])</f>
        <v>3</v>
      </c>
      <c r="D16" s="30">
        <f t="shared" si="1"/>
        <v>1</v>
      </c>
      <c r="E16" s="31">
        <f t="shared" si="0"/>
        <v>1</v>
      </c>
      <c r="F16" s="31">
        <f t="shared" si="0"/>
        <v>1</v>
      </c>
      <c r="G16" s="31">
        <f t="shared" si="0"/>
        <v>0</v>
      </c>
      <c r="H16" s="32">
        <f t="shared" si="0"/>
        <v>0</v>
      </c>
      <c r="I16" s="26">
        <f>COUNTIFS(Table1[[Product]:[Product]],$B16,Table1[[Rating]:[Rating]],I$4)</f>
        <v>1</v>
      </c>
      <c r="J16" s="26">
        <f>COUNTIFS(Table1[[Product]:[Product]],$B16,Table1[[Rating]:[Rating]],J$4)</f>
        <v>1</v>
      </c>
      <c r="K16" s="26">
        <f>COUNTIFS(Table1[[Product]:[Product]],$B16,Table1[[Rating]:[Rating]],K$4)</f>
        <v>1</v>
      </c>
      <c r="L16" s="26">
        <f>COUNTIFS(Table1[[Product]:[Product]],$B16,Table1[[Rating]:[Rating]],L$4)</f>
        <v>1</v>
      </c>
      <c r="M16" s="26">
        <f>COUNTIFS(Table1[[Product]:[Product]],$B16,Table1[[Rating]:[Rating]],M$4)</f>
        <v>1</v>
      </c>
      <c r="N16" s="27">
        <f t="shared" si="2"/>
        <v>5</v>
      </c>
      <c r="O16" s="13"/>
    </row>
    <row r="17" spans="1:19" ht="13.5" thickBot="1" x14ac:dyDescent="0.25">
      <c r="A17" s="10">
        <v>12</v>
      </c>
      <c r="B17" s="28" t="s">
        <v>76</v>
      </c>
      <c r="C17" s="29">
        <f>AVERAGEIF(Table1[Product],'Products Review Rating'!B17,Table1[Rating])</f>
        <v>2.8888888888888888</v>
      </c>
      <c r="D17" s="30">
        <f t="shared" si="1"/>
        <v>1</v>
      </c>
      <c r="E17" s="31">
        <f t="shared" si="0"/>
        <v>1</v>
      </c>
      <c r="F17" s="31">
        <f t="shared" si="0"/>
        <v>0.88888888888888884</v>
      </c>
      <c r="G17" s="31">
        <f t="shared" si="0"/>
        <v>0</v>
      </c>
      <c r="H17" s="32">
        <f t="shared" si="0"/>
        <v>0</v>
      </c>
      <c r="I17" s="26">
        <f>COUNTIFS(Table1[[Product]:[Product]],$B17,Table1[[Rating]:[Rating]],I$4)</f>
        <v>2</v>
      </c>
      <c r="J17" s="26">
        <f>COUNTIFS(Table1[[Product]:[Product]],$B17,Table1[[Rating]:[Rating]],J$4)</f>
        <v>1</v>
      </c>
      <c r="K17" s="26">
        <f>COUNTIFS(Table1[[Product]:[Product]],$B17,Table1[[Rating]:[Rating]],K$4)</f>
        <v>3</v>
      </c>
      <c r="L17" s="26">
        <f>COUNTIFS(Table1[[Product]:[Product]],$B17,Table1[[Rating]:[Rating]],L$4)</f>
        <v>2</v>
      </c>
      <c r="M17" s="26">
        <f>COUNTIFS(Table1[[Product]:[Product]],$B17,Table1[[Rating]:[Rating]],M$4)</f>
        <v>1</v>
      </c>
      <c r="N17" s="27">
        <f t="shared" si="2"/>
        <v>9</v>
      </c>
      <c r="O17" s="13"/>
      <c r="P17" s="52"/>
      <c r="Q17" s="52"/>
    </row>
    <row r="18" spans="1:19" ht="13.5" thickBot="1" x14ac:dyDescent="0.25">
      <c r="A18" s="10">
        <v>13</v>
      </c>
      <c r="B18" s="28" t="s">
        <v>79</v>
      </c>
      <c r="C18" s="29">
        <f>AVERAGEIF(Table1[Product],'Products Review Rating'!B18,Table1[Rating])</f>
        <v>2.5714285714285716</v>
      </c>
      <c r="D18" s="30">
        <f t="shared" si="1"/>
        <v>1</v>
      </c>
      <c r="E18" s="31">
        <f t="shared" si="0"/>
        <v>1</v>
      </c>
      <c r="F18" s="31">
        <f t="shared" si="0"/>
        <v>0.57142857142857162</v>
      </c>
      <c r="G18" s="31">
        <f t="shared" si="0"/>
        <v>0</v>
      </c>
      <c r="H18" s="32">
        <f t="shared" si="0"/>
        <v>0</v>
      </c>
      <c r="I18" s="26">
        <f>COUNTIFS(Table1[[Product]:[Product]],$B18,Table1[[Rating]:[Rating]],I$4)</f>
        <v>3</v>
      </c>
      <c r="J18" s="26">
        <f>COUNTIFS(Table1[[Product]:[Product]],$B18,Table1[[Rating]:[Rating]],J$4)</f>
        <v>0</v>
      </c>
      <c r="K18" s="26">
        <f>COUNTIFS(Table1[[Product]:[Product]],$B18,Table1[[Rating]:[Rating]],K$4)</f>
        <v>2</v>
      </c>
      <c r="L18" s="26">
        <f>COUNTIFS(Table1[[Product]:[Product]],$B18,Table1[[Rating]:[Rating]],L$4)</f>
        <v>1</v>
      </c>
      <c r="M18" s="26">
        <f>COUNTIFS(Table1[[Product]:[Product]],$B18,Table1[[Rating]:[Rating]],M$4)</f>
        <v>1</v>
      </c>
      <c r="N18" s="27">
        <f t="shared" si="2"/>
        <v>7</v>
      </c>
      <c r="O18" s="13"/>
      <c r="P18" s="52"/>
      <c r="Q18" s="52"/>
    </row>
    <row r="19" spans="1:19" ht="13.5" thickBot="1" x14ac:dyDescent="0.25">
      <c r="A19" s="10">
        <v>14</v>
      </c>
      <c r="B19" s="33" t="s">
        <v>81</v>
      </c>
      <c r="C19" s="34">
        <f>AVERAGEIF(Table1[Product],'Products Review Rating'!B19,Table1[Rating])</f>
        <v>3.5</v>
      </c>
      <c r="D19" s="35">
        <f t="shared" si="1"/>
        <v>1</v>
      </c>
      <c r="E19" s="36">
        <f t="shared" si="0"/>
        <v>1</v>
      </c>
      <c r="F19" s="36">
        <f t="shared" si="0"/>
        <v>1</v>
      </c>
      <c r="G19" s="36">
        <f t="shared" si="0"/>
        <v>0.5</v>
      </c>
      <c r="H19" s="37">
        <f t="shared" si="0"/>
        <v>0</v>
      </c>
      <c r="I19" s="50">
        <f>COUNTIFS(Table1[[Product]:[Product]],$B19,Table1[[Rating]:[Rating]],I$4)</f>
        <v>1</v>
      </c>
      <c r="J19" s="50">
        <f>COUNTIFS(Table1[[Product]:[Product]],$B19,Table1[[Rating]:[Rating]],J$4)</f>
        <v>2</v>
      </c>
      <c r="K19" s="50">
        <f>COUNTIFS(Table1[[Product]:[Product]],$B19,Table1[[Rating]:[Rating]],K$4)</f>
        <v>5</v>
      </c>
      <c r="L19" s="50">
        <f>COUNTIFS(Table1[[Product]:[Product]],$B19,Table1[[Rating]:[Rating]],L$4)</f>
        <v>1</v>
      </c>
      <c r="M19" s="50">
        <f>COUNTIFS(Table1[[Product]:[Product]],$B19,Table1[[Rating]:[Rating]],M$4)</f>
        <v>5</v>
      </c>
      <c r="N19" s="51">
        <f t="shared" si="2"/>
        <v>14</v>
      </c>
      <c r="O19" s="13"/>
      <c r="P19" s="52"/>
      <c r="Q19" s="52"/>
    </row>
    <row r="20" spans="1:19" ht="13.5" thickBot="1" x14ac:dyDescent="0.25">
      <c r="A20" s="10"/>
      <c r="B20" s="38"/>
      <c r="C20" s="39"/>
      <c r="D20" s="40"/>
      <c r="E20" s="40"/>
      <c r="F20" s="40"/>
      <c r="G20" s="40"/>
      <c r="H20" s="40"/>
      <c r="I20" s="41"/>
      <c r="J20" s="41"/>
      <c r="K20" s="41"/>
      <c r="L20" s="41"/>
      <c r="M20" s="41"/>
      <c r="N20" s="42"/>
      <c r="O20" s="13"/>
      <c r="P20" s="52"/>
      <c r="Q20" s="52"/>
    </row>
    <row r="21" spans="1:19" ht="13.5" customHeight="1" thickBot="1" x14ac:dyDescent="0.25">
      <c r="A21" s="10">
        <f>MATCH(product_selesh,B6:B19,0)</f>
        <v>11</v>
      </c>
      <c r="B21" s="10" t="s">
        <v>75</v>
      </c>
      <c r="C21" s="62"/>
      <c r="D21" s="62"/>
      <c r="E21" s="62"/>
      <c r="F21" s="62"/>
      <c r="G21" s="62"/>
      <c r="H21" s="63"/>
      <c r="I21" s="43" cm="1">
        <f t="array" ref="I21">INDEX(I6:M19,$A$21,1)</f>
        <v>1</v>
      </c>
      <c r="J21" s="43" cm="1">
        <f t="array" ref="J21">INDEX(J6:N19,$A$21,1)</f>
        <v>1</v>
      </c>
      <c r="K21" s="43" cm="1">
        <f t="array" ref="K21">INDEX(K6:O19,$A$21,1)</f>
        <v>1</v>
      </c>
      <c r="L21" s="43" cm="1">
        <f t="array" ref="L21">INDEX(L6:P19,$A$21,1)</f>
        <v>1</v>
      </c>
      <c r="M21" s="44" cm="1">
        <f t="array" ref="M21">INDEX(M6:Q19,$A$21,1)</f>
        <v>1</v>
      </c>
      <c r="N21" s="45" t="str" cm="1">
        <f t="array" ref="N21">INDEX($N$6:$N$19,$A$21,1) &amp; " Total Reviews for " &amp; B21</f>
        <v>5 Total Reviews for Chocolade</v>
      </c>
      <c r="O21" s="46"/>
      <c r="P21" s="52"/>
      <c r="Q21" s="52"/>
    </row>
    <row r="22" spans="1:19" x14ac:dyDescent="0.2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46"/>
      <c r="O22" s="46"/>
      <c r="P22" s="52"/>
      <c r="Q22" s="52"/>
    </row>
    <row r="23" spans="1:19" x14ac:dyDescent="0.2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46"/>
      <c r="O23" s="46"/>
      <c r="Q23" s="52"/>
    </row>
    <row r="24" spans="1:19" x14ac:dyDescent="0.2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46"/>
      <c r="O24" s="46"/>
      <c r="Q24" s="52"/>
    </row>
    <row r="25" spans="1:19" x14ac:dyDescent="0.2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3"/>
      <c r="P25" s="52" t="str" cm="1">
        <f t="array" ref="P25">IFERROR(HYPERLINK(ChartSelection(B6),B6),B6)</f>
        <v>Alice Mutton</v>
      </c>
      <c r="Q25" s="52"/>
    </row>
    <row r="26" spans="1:19" x14ac:dyDescent="0.2">
      <c r="A26" s="10"/>
      <c r="B26" s="4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3"/>
      <c r="P26" s="52" t="str" cm="1">
        <f t="array" ref="P26">IFERROR(HYPERLINK(ChartSelection(B7),B7),B7)</f>
        <v>Aniseed Syrup</v>
      </c>
      <c r="Q26" s="53" t="s">
        <v>90</v>
      </c>
      <c r="R26" s="54"/>
    </row>
    <row r="27" spans="1:19" ht="13.5" thickBot="1" x14ac:dyDescent="0.25">
      <c r="A27" s="13"/>
      <c r="B27" s="48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52" t="str" cm="1">
        <f t="array" ref="P27">IFERROR(HYPERLINK(ChartSelection(B8),B8),B8)</f>
        <v>Boston Crab Meat</v>
      </c>
      <c r="Q27" s="54"/>
      <c r="R27" s="54"/>
    </row>
    <row r="28" spans="1:19" x14ac:dyDescent="0.2">
      <c r="A28" s="13"/>
      <c r="B28" s="48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52" t="str" cm="1">
        <f t="array" ref="P28">IFERROR(HYPERLINK(ChartSelection(B9),B9),B9)</f>
        <v>Camembert Pierrot</v>
      </c>
      <c r="Q28" s="54"/>
      <c r="R28" s="54"/>
      <c r="S28" s="55" t="s">
        <v>91</v>
      </c>
    </row>
    <row r="29" spans="1:19" x14ac:dyDescent="0.2">
      <c r="A29" s="13"/>
      <c r="B29" s="48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52" t="str" cm="1">
        <f t="array" ref="P29">IFERROR(HYPERLINK(ChartSelection(B10),B10),B10)</f>
        <v>Carnarvon Tigers</v>
      </c>
      <c r="Q29" s="54"/>
      <c r="R29" s="54"/>
      <c r="S29" s="56"/>
    </row>
    <row r="30" spans="1:19" x14ac:dyDescent="0.2">
      <c r="A30" s="13"/>
      <c r="B30" s="48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52" t="str" cm="1">
        <f t="array" ref="P30">IFERROR(HYPERLINK(ChartSelection(B11),B11),B11)</f>
        <v>Chai</v>
      </c>
      <c r="Q30" s="54"/>
      <c r="R30" s="54"/>
      <c r="S30" s="56"/>
    </row>
    <row r="31" spans="1:19" x14ac:dyDescent="0.2">
      <c r="A31" s="13"/>
      <c r="B31" s="48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52" t="str" cm="1">
        <f t="array" ref="P31">IFERROR(HYPERLINK(ChartSelection(B12),B12),B12)</f>
        <v>Chang</v>
      </c>
      <c r="Q31" s="54"/>
      <c r="R31" s="54"/>
      <c r="S31" s="56"/>
    </row>
    <row r="32" spans="1:19" x14ac:dyDescent="0.2">
      <c r="A32" s="13"/>
      <c r="B32" s="48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52" t="str" cm="1">
        <f t="array" ref="P32">IFERROR(HYPERLINK(ChartSelection(B13),B13),B13)</f>
        <v>Chartreuse verte</v>
      </c>
      <c r="Q32" s="54"/>
      <c r="R32" s="54"/>
      <c r="S32" s="56"/>
    </row>
    <row r="33" spans="1:19" x14ac:dyDescent="0.2">
      <c r="A33" s="13"/>
      <c r="B33" s="48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52" t="str" cm="1">
        <f t="array" ref="P33">IFERROR(HYPERLINK(ChartSelection(B14),B14),B14)</f>
        <v>Chef Anton's Cajun Seasoning</v>
      </c>
      <c r="Q33" s="54"/>
      <c r="R33" s="54"/>
      <c r="S33" s="56"/>
    </row>
    <row r="34" spans="1:19" ht="13.5" thickBot="1" x14ac:dyDescent="0.25">
      <c r="A34" s="13"/>
      <c r="B34" s="48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52" t="str" cm="1">
        <f t="array" ref="P34">IFERROR(HYPERLINK(ChartSelection(B15),B15),B15)</f>
        <v>Chef Anton's Gumbo Mix</v>
      </c>
      <c r="Q34" s="54"/>
      <c r="R34" s="54"/>
      <c r="S34" s="57"/>
    </row>
    <row r="35" spans="1:19" x14ac:dyDescent="0.2">
      <c r="A35" s="9"/>
      <c r="B35" s="4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52" t="str" cm="1">
        <f t="array" ref="P35">IFERROR(HYPERLINK(ChartSelection(B16),B16),B16)</f>
        <v>Chocolade</v>
      </c>
      <c r="Q35" s="54"/>
      <c r="R35" s="54"/>
    </row>
    <row r="36" spans="1:19" x14ac:dyDescent="0.2">
      <c r="A36" s="9"/>
      <c r="B36" s="4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52" t="str" cm="1">
        <f t="array" ref="P36">IFERROR(HYPERLINK(ChartSelection(B17),B17),B17)</f>
        <v>Côte de Blaye</v>
      </c>
      <c r="Q36" s="54"/>
      <c r="R36" s="54"/>
    </row>
    <row r="37" spans="1:19" x14ac:dyDescent="0.2">
      <c r="A37" s="9"/>
      <c r="B37" s="4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52" t="str" cm="1">
        <f t="array" ref="P37">IFERROR(HYPERLINK(ChartSelection(B18),B18),B18)</f>
        <v>Escargots de Bourgogne</v>
      </c>
      <c r="Q37" s="52"/>
    </row>
    <row r="38" spans="1:19" x14ac:dyDescent="0.2">
      <c r="A38" s="9"/>
      <c r="B38" s="4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52" t="str" cm="1">
        <f t="array" ref="P38">IFERROR(HYPERLINK(ChartSelection(B19),B19),B19)</f>
        <v>Filo Mix</v>
      </c>
      <c r="Q38" s="52"/>
    </row>
    <row r="39" spans="1:19" x14ac:dyDescent="0.2">
      <c r="A39" s="9"/>
      <c r="B39" s="4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52"/>
      <c r="Q39" s="52"/>
    </row>
    <row r="40" spans="1:19" x14ac:dyDescent="0.2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52"/>
      <c r="Q40" s="52"/>
    </row>
    <row r="41" spans="1:19" x14ac:dyDescent="0.2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</row>
  </sheetData>
  <mergeCells count="6">
    <mergeCell ref="Q26:R36"/>
    <mergeCell ref="S28:S34"/>
    <mergeCell ref="A1:O1"/>
    <mergeCell ref="D5:H5"/>
    <mergeCell ref="I5:M5"/>
    <mergeCell ref="C21:H21"/>
  </mergeCells>
  <dataValidations count="1">
    <dataValidation type="list" allowBlank="1" showInputMessage="1" showErrorMessage="1" sqref="B21" xr:uid="{DE5AE27A-8043-43AF-9BB1-E9A5257432DC}">
      <formula1>$B$6:$B$19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776DACAB-C212-43CF-BF4A-120E96187EE0}">
            <x14:iconSet iconSet="3Stars" showValue="0">
              <x14:cfvo type="percent">
                <xm:f>0</xm:f>
              </x14:cfvo>
              <x14:cfvo type="num">
                <xm:f>0.5</xm:f>
              </x14:cfvo>
              <x14:cfvo type="num">
                <xm:f>1</xm:f>
              </x14:cfvo>
            </x14:iconSet>
          </x14:cfRule>
          <xm:sqref>D6:H20</xm:sqref>
        </x14:conditionalFormatting>
      </x14:conditionalFormattings>
    </ext>
  </extLst>
</worksheet>
</file>

<file path=_xmlsignatures/_rels/origin.sigs.rels><?xml version="1.0" encoding="UTF-8" standalone="yes"?>
<Relationships xmlns="http://schemas.openxmlformats.org/package/2006/relationships"><Relationship Id="rId1" Type="http://schemas.openxmlformats.org/package/2006/relationships/digital-signature/signature" Target="sig1.xml"/></Relationships>
</file>

<file path=_xmlsignatures/sig1.xml><?xml version="1.0" encoding="utf-8"?>
<Signature xmlns="http://www.w3.org/2000/09/xmldsig#" Id="idPackageSignature">
  <SignedInfo>
    <CanonicalizationMethod Algorithm="http://www.w3.org/TR/2001/REC-xml-c14n-20010315"/>
    <SignatureMethod Algorithm="http://www.w3.org/2001/04/xmldsig-more#rsa-sha256"/>
    <Reference Type="http://www.w3.org/2000/09/xmldsig#Object" URI="#idPackageObject">
      <DigestMethod Algorithm="http://www.w3.org/2001/04/xmlenc#sha256"/>
      <DigestValue>o3b3N6w/aA1a47z9+WqTlmraGOBhCpGRQ3LdvGZ2pBE=</DigestValue>
    </Reference>
    <Reference Type="http://www.w3.org/2000/09/xmldsig#Object" URI="#idOfficeObject">
      <DigestMethod Algorithm="http://www.w3.org/2001/04/xmlenc#sha256"/>
      <DigestValue>Bqbd1MaOF+5l84cbB7RODfr7piOtoXM52hUaVoxr+Qw=</DigestValue>
    </Reference>
    <Reference Type="http://uri.etsi.org/01903#SignedProperties" URI="#idSignedProperties">
      <Transforms>
        <Transform Algorithm="http://www.w3.org/TR/2001/REC-xml-c14n-20010315"/>
      </Transforms>
      <DigestMethod Algorithm="http://www.w3.org/2001/04/xmlenc#sha256"/>
      <DigestValue>Os5eJqLWIkxGbALIM+yV9miTWrz6LfqaNK5WHoYmde0=</DigestValue>
    </Reference>
  </SignedInfo>
  <SignatureValue>G5iZQowSL3isZjj1eUHZg6cBvIMgGdzmN3k5A5s3hAnZoaDMW/tKytnGebF1glLz38GAEcZ2Lvi5
4bNAgbWTHl8XmhQd88dMXspq9MpEYFc81uuH1C/uyE4dMKRwqOxeucoh6D3L333tZfLLAdLj2Mva
S888J23XoZxDtYi5SGb0VDbWr92HXNy6BrRVQQStG+g4Ai1X4rvbujCD32dm0S752xE10lWALUW0
nsEAs8y96JTk+HsoX7+Nxi5HkFzjCxU0R/3SkYqL1rxv9xTPK3ilAy6DgZkGO6EdoMeeE//5rqP2
AZCt4si5u2AjLVMAjKOazVv68E7FZWK51RvrWQ==</SignatureValue>
  <KeyInfo>
    <X509Data>
      <X509Certificate>MIID8jCCAtqgAwIBAgIQJvxhHchqvadHG2e03PKXYDANBgkqhkiG9w0BAQsFADB4MXYwEQYKCZImiZPyLGQBGRYDbmV0MBUGCgmSJomT8ixkARkWB3dpbmRvd3MwHQYDVQQDExZNUy1Pcmdhbml6YXRpb24tQWNjZXNzMCsGA1UECxMkODJkYmFjYTQtM2U4MS00NmNhLTljNzMtMDk1MGMxZWFjYTk3MB4XDTI1MDExMTE5NTAxNloXDTM1MDExMTIwMjAxNlowLzEtMCsGA1UEAxMkM2Y5ZDg1ZTktYzUxYi00ZDRhLWFlNjItMjQwYmZmNzA0MjZmMIIBIjANBgkqhkiG9w0BAQEFAAOCAQ8AMIIBCgKCAQEAy5PI67AHZlmn0hCuXbX2IczWkltKBBX7eYnAilBmF5LHTG2HxJVZVDFVpUTqThG5x7cFbuQBmS2zIS52iLY+bZXOU4S2+5EGPSop2e9qnf5tW9B4EYP4uYgBHGIMvhMRZE/mhyQ1Xhf0+Tgd5rKH1eTxyaXZSeBcc7vmy+U5dBZhneu6v0vhEpmPhYbqNA3Thy2/izomBpQnkezJcQuKmy7izTz6pA7eGN337CAHfiAtO3ZBlmX86ox8Ydo2tQSfbRXffL5RUmHQmWGJTLcNGRrYessorRqb25k+iNsCKeR/bb8rmHnoWpi/C4IPyzL6Y2+df4ta6LkOkNAUzfWJ+QIDAQABo4HAMIG9MAwGA1UdEwEB/wQCMAAwFgYDVR0lAQH/BAwwCgYIKwYBBQUHAwIwIgYLKoZIhvcUAQWCHAIEEwSBEOmFnT8bxUpNrmIkC/9wQm8wIgYLKoZIhvcUAQWCHAMEEwSBED/AByueMKZJpUSkhILcFTYwIgYLKoZIhvcUAQWCHAUEEwSBECI9fjehTi1CsK2PzIlAa54wFAYLKoZIhvcUAQWCHAgEBQSBAkVVMBMGCyqGSIb3FAEFghwHBAQEgQEwMA0GCSqGSIb3DQEBCwUAA4IBAQCFgD8ODBtG65w2naQ6TTP26zFkkPvIOLSUgUBC5KMYK8e5zzwyYrg6+9Q0L2yc2IqCsW3K0D8p6ByX3+ugaf7MDnMPwwQrl5OD8xcI3gdHq2P2XfzinQbUC7W8DV49oJuxMj/NZ18wLRssGcdtTDMGz8NH8zVTi6Xn5+eDB9FTSsjw+nRzQ1SHstwu600CQ0Sfr/V/h497Tl0Sbt6TzuFUHcAMnZOsMvQ0s4GeYgtXUgL/ERDdHekPPvOCBTxIYZFi7Xbxxl/jITpPFaw+8WGK4WfhJBVe+/kRTofhPysUh4cAX2YEg9DkiKqeBZaKtGCcrcdFTJGC2Ts1iuylmAHD</X509Certificate>
    </X509Data>
  </KeyInfo>
  <Object Id="idPackageObject">
    <Manifest>
      <Reference URI="/_rels/.rels?ContentType=application/vnd.openxmlformats-package.relationships+xml">
        <Transforms>
          <Transform Algorithm="http://schemas.openxmlformats.org/package/2006/RelationshipTransform">
            <mdssi:RelationshipReference xmlns:mdssi="http://schemas.openxmlformats.org/package/2006/digital-signature" SourceId="rId1"/>
          </Transform>
          <Transform Algorithm="http://www.w3.org/TR/2001/REC-xml-c14n-20010315"/>
        </Transforms>
        <DigestMethod Algorithm="http://www.w3.org/2001/04/xmlenc#sha256"/>
        <DigestValue>2f3AFpmV4xMG5w1iTrxxA0J9QIy47+YsQamqbXmHTzc=</DigestValue>
      </Reference>
      <Reference URI="/xl/_rels/workbook.xml.rels?ContentType=application/vnd.openxmlformats-package.relationships+xml">
        <Transforms>
          <Transform Algorithm="http://schemas.openxmlformats.org/package/2006/RelationshipTransform">
            <mdssi:RelationshipReference xmlns:mdssi="http://schemas.openxmlformats.org/package/2006/digital-signature" SourceId="rId4"/>
            <mdssi:RelationshipReference xmlns:mdssi="http://schemas.openxmlformats.org/package/2006/digital-signature" SourceId="rId8"/>
            <mdssi:RelationshipReference xmlns:mdssi="http://schemas.openxmlformats.org/package/2006/digital-signature" SourceId="rId3"/>
            <mdssi:RelationshipReference xmlns:mdssi="http://schemas.openxmlformats.org/package/2006/digital-signature" SourceId="rId7"/>
            <mdssi:RelationshipReference xmlns:mdssi="http://schemas.openxmlformats.org/package/2006/digital-signature" SourceId="rId2"/>
            <mdssi:RelationshipReference xmlns:mdssi="http://schemas.openxmlformats.org/package/2006/digital-signature" SourceId="rId1"/>
            <mdssi:RelationshipReference xmlns:mdssi="http://schemas.openxmlformats.org/package/2006/digital-signature" SourceId="rId6"/>
            <mdssi:RelationshipReference xmlns:mdssi="http://schemas.openxmlformats.org/package/2006/digital-signature" SourceId="rId5"/>
          </Transform>
          <Transform Algorithm="http://www.w3.org/TR/2001/REC-xml-c14n-20010315"/>
        </Transforms>
        <DigestMethod Algorithm="http://www.w3.org/2001/04/xmlenc#sha256"/>
        <DigestValue>AhFKjS+4T9xFsF1zoXS4rAWvGJRUDkqBjofjU7S2+u8=</DigestValue>
      </Reference>
      <Reference URI="/xl/calcChain.xml?ContentType=application/vnd.openxmlformats-officedocument.spreadsheetml.calcChain+xml">
        <DigestMethod Algorithm="http://www.w3.org/2001/04/xmlenc#sha256"/>
        <DigestValue>95B94LH1rudMq2bVsQZAfoLmcp8l8qeQQ9Eb/ArBuw0=</DigestValue>
      </Reference>
      <Reference URI="/xl/charts/_rels/chart1.xml.rels?ContentType=application/vnd.openxmlformats-package.relationships+xml">
        <Transforms>
          <Transform Algorithm="http://schemas.openxmlformats.org/package/2006/RelationshipTransform">
            <mdssi:RelationshipReference xmlns:mdssi="http://schemas.openxmlformats.org/package/2006/digital-signature" SourceId="rId1"/>
            <mdssi:RelationshipReference xmlns:mdssi="http://schemas.openxmlformats.org/package/2006/digital-signature" SourceId="rId2"/>
          </Transform>
          <Transform Algorithm="http://www.w3.org/TR/2001/REC-xml-c14n-20010315"/>
        </Transforms>
        <DigestMethod Algorithm="http://www.w3.org/2001/04/xmlenc#sha256"/>
        <DigestValue>iiIUTw551Pf7bTYXz0p/pxL7b94OSgCO8EQWIeBhUcA=</DigestValue>
      </Reference>
      <Reference URI="/xl/charts/chart1.xml?ContentType=application/vnd.openxmlformats-officedocument.drawingml.chart+xml">
        <DigestMethod Algorithm="http://www.w3.org/2001/04/xmlenc#sha256"/>
        <DigestValue>ipv4v77Cs0MjCF6umxuL/uxVvt1EvYqmHq0udOOkk/Y=</DigestValue>
      </Reference>
      <Reference URI="/xl/charts/colors1.xml?ContentType=application/vnd.ms-office.chartcolorstyle+xml">
        <DigestMethod Algorithm="http://www.w3.org/2001/04/xmlenc#sha256"/>
        <DigestValue>BP77p9MYU/oKpjblyLjjCPwxJqm0ih9EkJR//5HVqS8=</DigestValue>
      </Reference>
      <Reference URI="/xl/charts/style1.xml?ContentType=application/vnd.ms-office.chartstyle+xml">
        <DigestMethod Algorithm="http://www.w3.org/2001/04/xmlenc#sha256"/>
        <DigestValue>AXW5AOY10VP6HVcX/c7MF2SZeFBThRDcjZ5y1HpDI5I=</DigestValue>
      </Reference>
      <Reference URI="/xl/drawings/_rels/drawing1.xml.rels?ContentType=application/vnd.openxmlformats-package.relationships+xml">
        <Transforms>
          <Transform Algorithm="http://schemas.openxmlformats.org/package/2006/RelationshipTransform">
            <mdssi:RelationshipReference xmlns:mdssi="http://schemas.openxmlformats.org/package/2006/digital-signature" SourceId="rId1"/>
          </Transform>
          <Transform Algorithm="http://www.w3.org/TR/2001/REC-xml-c14n-20010315"/>
        </Transforms>
        <DigestMethod Algorithm="http://www.w3.org/2001/04/xmlenc#sha256"/>
        <DigestValue>aT94V8Wz1bpzKr/beusbcXJut1shLdaYPh7KFdfLu4M=</DigestValue>
      </Reference>
      <Reference URI="/xl/drawings/drawing1.xml?ContentType=application/vnd.openxmlformats-officedocument.drawing+xml">
        <DigestMethod Algorithm="http://www.w3.org/2001/04/xmlenc#sha256"/>
        <DigestValue>6rm3W7vJC8sbNzkk1L4mkRu2Ai5uLi+7QS49B+3rLHM=</DigestValue>
      </Reference>
      <Reference URI="/xl/metadata.xml?ContentType=application/vnd.openxmlformats-officedocument.spreadsheetml.sheetMetadata+xml">
        <DigestMethod Algorithm="http://www.w3.org/2001/04/xmlenc#sha256"/>
        <DigestValue>6A4HwnoPdblEQvyJVvapxowGIWiz0V6fJS8jEAb6yGc=</DigestValue>
      </Reference>
      <Reference URI="/xl/printerSettings/printerSettings1.bin?ContentType=application/vnd.openxmlformats-officedocument.spreadsheetml.printerSettings">
        <DigestMethod Algorithm="http://www.w3.org/2001/04/xmlenc#sha256"/>
        <DigestValue>EaGYny6vc77boA3lPm+s+4axftO4voZPskbUe1P+0Jo=</DigestValue>
      </Reference>
      <Reference URI="/xl/printerSettings/printerSettings2.bin?ContentType=application/vnd.openxmlformats-officedocument.spreadsheetml.printerSettings">
        <DigestMethod Algorithm="http://www.w3.org/2001/04/xmlenc#sha256"/>
        <DigestValue>+HnOea/PvPWTHhndFONS8eCu50IbpL2foMvDe8VK1Fo=</DigestValue>
      </Reference>
      <Reference URI="/xl/sharedStrings.xml?ContentType=application/vnd.openxmlformats-officedocument.spreadsheetml.sharedStrings+xml">
        <DigestMethod Algorithm="http://www.w3.org/2001/04/xmlenc#sha256"/>
        <DigestValue>7AUou4elQQPVAKRbys4iL1LI1G3GZqO1yJ6od/Sk9Io=</DigestValue>
      </Reference>
      <Reference URI="/xl/styles.xml?ContentType=application/vnd.openxmlformats-officedocument.spreadsheetml.styles+xml">
        <DigestMethod Algorithm="http://www.w3.org/2001/04/xmlenc#sha256"/>
        <DigestValue>Ig/cQRVGQvh/41tt6o0VjJYWhxIBiHfi3t+HCQNTdkI=</DigestValue>
      </Reference>
      <Reference URI="/xl/tables/table1.xml?ContentType=application/vnd.openxmlformats-officedocument.spreadsheetml.table+xml">
        <DigestMethod Algorithm="http://www.w3.org/2001/04/xmlenc#sha256"/>
        <DigestValue>l33NFswIrBH1rKLQYzYIdHR9/3hh6vO71NvrK6eNNKg=</DigestValue>
      </Reference>
      <Reference URI="/xl/theme/theme1.xml?ContentType=application/vnd.openxmlformats-officedocument.theme+xml">
        <DigestMethod Algorithm="http://www.w3.org/2001/04/xmlenc#sha256"/>
        <DigestValue>sWEG9CKfbs5tdEJrPnP/amd98pCNKgb3bvAyn6J8AoI=</DigestValue>
      </Reference>
      <Reference URI="/xl/vbaProject.bin?ContentType=application/vnd.ms-office.vbaProject">
        <DigestMethod Algorithm="http://www.w3.org/2001/04/xmlenc#sha256"/>
        <DigestValue>7pPrODvZch4p+HTrWMROHCflYUOuhHlIZWeZaKo533o=</DigestValue>
      </Reference>
      <Reference URI="/xl/workbook.xml?ContentType=application/vnd.ms-excel.sheet.macroEnabled.main+xml">
        <DigestMethod Algorithm="http://www.w3.org/2001/04/xmlenc#sha256"/>
        <DigestValue>6lSWYFciwk9bhKA6+qROPzKmYHLj5K666NQP6nkKWUA=</DigestValue>
      </Reference>
      <Reference URI="/xl/worksheets/_rels/sheet1.xml.rels?ContentType=application/vnd.openxmlformats-package.relationships+xml">
        <Transforms>
          <Transform Algorithm="http://schemas.openxmlformats.org/package/2006/RelationshipTransform">
            <mdssi:RelationshipReference xmlns:mdssi="http://schemas.openxmlformats.org/package/2006/digital-signature" SourceId="rId2"/>
            <mdssi:RelationshipReference xmlns:mdssi="http://schemas.openxmlformats.org/package/2006/digital-signature" SourceId="rId1"/>
          </Transform>
          <Transform Algorithm="http://www.w3.org/TR/2001/REC-xml-c14n-20010315"/>
        </Transforms>
        <DigestMethod Algorithm="http://www.w3.org/2001/04/xmlenc#sha256"/>
        <DigestValue>j9SXjGsIW0c/HACRAFXHLPwvlmARL6DQPWZ8uPIEmWQ=</DigestValue>
      </Reference>
      <Reference URI="/xl/worksheets/_rels/sheet2.xml.rels?ContentType=application/vnd.openxmlformats-package.relationships+xml">
        <Transforms>
          <Transform Algorithm="http://schemas.openxmlformats.org/package/2006/RelationshipTransform">
            <mdssi:RelationshipReference xmlns:mdssi="http://schemas.openxmlformats.org/package/2006/digital-signature" SourceId="rId1"/>
            <mdssi:RelationshipReference xmlns:mdssi="http://schemas.openxmlformats.org/package/2006/digital-signature" SourceId="rId2"/>
          </Transform>
          <Transform Algorithm="http://www.w3.org/TR/2001/REC-xml-c14n-20010315"/>
        </Transforms>
        <DigestMethod Algorithm="http://www.w3.org/2001/04/xmlenc#sha256"/>
        <DigestValue>ch/7Fy21MMu+BePE7V2u7g75sbQp0A/Jxw0Bq56y7z8=</DigestValue>
      </Reference>
      <Reference URI="/xl/worksheets/sheet1.xml?ContentType=application/vnd.openxmlformats-officedocument.spreadsheetml.worksheet+xml">
        <DigestMethod Algorithm="http://www.w3.org/2001/04/xmlenc#sha256"/>
        <DigestValue>fUBi3UvSzWl8oKAY3FpZT24A5/2RLsRUBB39jFh+o2U=</DigestValue>
      </Reference>
      <Reference URI="/xl/worksheets/sheet2.xml?ContentType=application/vnd.openxmlformats-officedocument.spreadsheetml.worksheet+xml">
        <DigestMethod Algorithm="http://www.w3.org/2001/04/xmlenc#sha256"/>
        <DigestValue>mPPpyAeWP9CMR4AZZHlBiBUS74hD3M8WLXvk4yk0jNo=</DigestValue>
      </Reference>
    </Manifest>
    <SignatureProperties>
      <SignatureProperty Id="idSignatureTime" Target="#idPackageSignature">
        <mdssi:SignatureTime xmlns:mdssi="http://schemas.openxmlformats.org/package/2006/digital-signature">
          <mdssi:Format>YYYY-MM-DDThh:mm:ssTZD</mdssi:Format>
          <mdssi:Value>2025-02-19T10:59:10Z</mdssi:Value>
        </mdssi:SignatureTime>
      </SignatureProperty>
    </SignatureProperties>
  </Object>
  <Object Id="idOfficeObject">
    <SignatureProperties>
      <SignatureProperty Id="idOfficeV1Details" Target="#idPackageSignature">
        <SignatureInfoV1 xmlns="http://schemas.microsoft.com/office/2006/digsig">
          <SetupID/>
          <SignatureText/>
          <SignatureImage/>
          <SignatureComments>Proof of Creation</SignatureComments>
          <WindowsVersion>10.0</WindowsVersion>
          <OfficeVersion>16.0.14332/22</OfficeVersion>
          <ApplicationVersion>16.0.14332</ApplicationVersion>
          <Monitors>1</Monitors>
          <HorizontalResolution>2560</HorizontalResolution>
          <VerticalResolution>1440</VerticalResolution>
          <ColorDepth>32</ColorDepth>
          <SignatureProviderId>{00000000-0000-0000-0000-000000000000}</SignatureProviderId>
          <SignatureProviderUrl/>
          <SignatureProviderDetails>9</SignatureProviderDetails>
          <SignatureType>1</SignatureType>
        </SignatureInfoV1>
        <SignatureInfoV2 xmlns="http://schemas.microsoft.com/office/2006/digsig">
          <Address1/>
          <Address2/>
        </SignatureInfoV2>
      </SignatureProperty>
    </SignatureProperties>
  </Object>
  <Object>
    <xd:QualifyingProperties xmlns:xd="http://uri.etsi.org/01903/v1.3.2#" Target="#idPackageSignature">
      <xd:SignedProperties Id="idSignedProperties">
        <xd:SignedSignatureProperties>
          <xd:SigningTime>2025-02-19T10:59:10Z</xd:SigningTime>
          <xd:SigningCertificate>
            <xd:Cert>
              <xd:CertDigest>
                <DigestMethod Algorithm="http://www.w3.org/2001/04/xmlenc#sha256"/>
                <DigestValue>kjjF58p/1uQpTkTvsvxdq9Z2K9x24XpnaFuCMhBco9U=</DigestValue>
              </xd:CertDigest>
              <xd:IssuerSerial>
                <X509IssuerName>DC=net + DC=windows + CN=MS-Organization-Access + OU=82dbaca4-3e81-46ca-9c73-0950c1eaca97</X509IssuerName>
                <X509SerialNumber>51821092401551890572574756599244167008</X509SerialNumber>
              </xd:IssuerSerial>
            </xd:Cert>
          </xd:SigningCertificate>
          <xd:SignaturePolicyIdentifier>
            <xd:SignaturePolicyImplied/>
          </xd:SignaturePolicyIdentifier>
          <xd:SignatureProductionPlace>
            <xd:City/>
            <xd:StateOrProvince/>
            <xd:PostalCode/>
            <xd:CountryName/>
          </xd:SignatureProductionPlace>
          <xd:SignerRole>
            <xd:ClaimedRoles>
              <xd:ClaimedRole>ALM</xd:ClaimedRole>
            </xd:ClaimedRoles>
          </xd:SignerRole>
        </xd:SignedSignatureProperties>
        <xd:SignedDataObjectProperties>
          <xd:CommitmentTypeIndication>
            <xd:CommitmentTypeId>
              <xd:Identifier>http://uri.etsi.org/01903/v1.2.2#ProofOfCreation</xd:Identifier>
              <xd:Description>Created this document</xd:Description>
            </xd:CommitmentTypeId>
            <xd:AllSignedDataObjects/>
            <xd:CommitmentTypeQualifiers>
              <xd:CommitmentTypeQualifier>Proof of Creation</xd:CommitmentTypeQualifier>
            </xd:CommitmentTypeQualifiers>
          </xd:CommitmentTypeIndication>
        </xd:SignedDataObjectProperties>
      </xd:SignedProperties>
    </xd:QualifyingProperties>
  </Object>
</Signature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Source Data</vt:lpstr>
      <vt:lpstr>Products Review Rating</vt:lpstr>
      <vt:lpstr>'Source Data'!Extract</vt:lpstr>
      <vt:lpstr>product_selesh</vt:lpstr>
    </vt:vector>
  </TitlesOfParts>
  <Manager/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Leon Mihaescu</dc:creator>
  <cp:keywords/>
  <dc:description/>
  <cp:lastModifiedBy>Leon Mihaescu</cp:lastModifiedBy>
  <cp:lastPrinted>2003-09-23T23:52:49Z</cp:lastPrinted>
  <dcterms:created xsi:type="dcterms:W3CDTF">2003-09-08T22:29:31Z</dcterms:created>
  <dcterms:modified xsi:type="dcterms:W3CDTF">2025-02-16T11:05:50Z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TC011123471033</vt:lpwstr>
  </property>
</Properties>
</file>